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ebextensions/webextension1.xml" ContentType="application/vnd.ms-office.webextensi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ZMY754\Downloads\"/>
    </mc:Choice>
  </mc:AlternateContent>
  <xr:revisionPtr revIDLastSave="0" documentId="8_{8F07612F-4F38-481D-A03C-CA65B0127364}" xr6:coauthVersionLast="47" xr6:coauthVersionMax="47" xr10:uidLastSave="{00000000-0000-0000-0000-000000000000}"/>
  <bookViews>
    <workbookView xWindow="22932" yWindow="2820" windowWidth="23256" windowHeight="12456" activeTab="1" xr2:uid="{FDE688CD-6B1E-46D0-81D7-B9A5736213F4}"/>
  </bookViews>
  <sheets>
    <sheet name="Lista de bosquejos" sheetId="1" r:id="rId1"/>
    <sheet name="Nos visitan 2026" sheetId="2" r:id="rId2"/>
    <sheet name="Visitamos 2026" sheetId="3" r:id="rId3"/>
    <sheet name="Formato" sheetId="8" r:id="rId4"/>
    <sheet name="Nuestros oradores" sheetId="5" r:id="rId5"/>
    <sheet name="Base de datos" sheetId="9" r:id="rId6"/>
    <sheet name="Canciones sugeridas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55" i="2" l="1"/>
  <c r="K153" i="2"/>
  <c r="K151" i="2"/>
  <c r="K149" i="2"/>
  <c r="K143" i="2"/>
  <c r="K141" i="2"/>
  <c r="K139" i="2"/>
  <c r="K137" i="2"/>
  <c r="K135" i="2"/>
  <c r="K129" i="2"/>
  <c r="K127" i="2"/>
  <c r="K125" i="2"/>
  <c r="K123" i="2"/>
  <c r="K117" i="2"/>
  <c r="K115" i="2"/>
  <c r="K113" i="2"/>
  <c r="K111" i="2"/>
  <c r="K105" i="2"/>
  <c r="K103" i="2"/>
  <c r="K101" i="2"/>
  <c r="K99" i="2"/>
  <c r="K97" i="2"/>
  <c r="K91" i="2"/>
  <c r="K89" i="2"/>
  <c r="K87" i="2"/>
  <c r="K85" i="2"/>
  <c r="K79" i="2"/>
  <c r="K77" i="2"/>
  <c r="K75" i="2"/>
  <c r="K73" i="2"/>
  <c r="K65" i="2"/>
  <c r="K67" i="2"/>
  <c r="K63" i="2"/>
  <c r="K61" i="2"/>
  <c r="K59" i="2"/>
  <c r="K53" i="2"/>
  <c r="K51" i="2"/>
  <c r="K49" i="2"/>
  <c r="K47" i="2"/>
  <c r="K41" i="2"/>
  <c r="K39" i="2"/>
  <c r="K37" i="2" a="1"/>
  <c r="K37" i="2" s="1"/>
  <c r="K35" i="2"/>
  <c r="K33" i="2"/>
  <c r="K25" i="2"/>
  <c r="K23" i="2"/>
  <c r="K21" i="2"/>
  <c r="K19" i="2"/>
  <c r="K9" i="2"/>
  <c r="K11" i="2"/>
  <c r="K13" i="2"/>
  <c r="K7" i="2"/>
  <c r="M7" i="2"/>
  <c r="L35" i="2"/>
  <c r="L33" i="2"/>
  <c r="L41" i="2"/>
  <c r="L39" i="2"/>
  <c r="L37" i="2"/>
  <c r="L25" i="2"/>
  <c r="L23" i="2"/>
  <c r="L21" i="2"/>
  <c r="L19" i="2"/>
  <c r="L13" i="2"/>
  <c r="L11" i="2"/>
  <c r="L9" i="2"/>
  <c r="L7" i="2"/>
  <c r="M143" i="2"/>
  <c r="L143" i="2"/>
  <c r="L123" i="2"/>
  <c r="M123" i="2"/>
  <c r="M105" i="2"/>
  <c r="L105" i="2"/>
  <c r="L75" i="2"/>
  <c r="M37" i="2"/>
  <c r="M33" i="2"/>
  <c r="L139" i="2"/>
  <c r="L137" i="2"/>
  <c r="L155" i="2"/>
  <c r="L153" i="2"/>
  <c r="L151" i="2"/>
  <c r="L149" i="2"/>
  <c r="L141" i="2"/>
  <c r="L135" i="2"/>
  <c r="M155" i="2"/>
  <c r="M153" i="2"/>
  <c r="M151" i="2"/>
  <c r="M149" i="2"/>
  <c r="M141" i="2"/>
  <c r="M139" i="2"/>
  <c r="M137" i="2"/>
  <c r="M135" i="2"/>
  <c r="L129" i="2"/>
  <c r="L127" i="2"/>
  <c r="L125" i="2"/>
  <c r="M129" i="2"/>
  <c r="M127" i="2"/>
  <c r="M125" i="2"/>
  <c r="M101" i="2"/>
  <c r="L103" i="2"/>
  <c r="L101" i="2"/>
  <c r="L99" i="2"/>
  <c r="L97" i="2"/>
  <c r="M103" i="2"/>
  <c r="M99" i="2"/>
  <c r="M97" i="2"/>
  <c r="L91" i="2"/>
  <c r="L89" i="2"/>
  <c r="L87" i="2"/>
  <c r="L85" i="2"/>
  <c r="M91" i="2"/>
  <c r="M89" i="2"/>
  <c r="M87" i="2"/>
  <c r="M85" i="2"/>
  <c r="L79" i="2"/>
  <c r="L77" i="2"/>
  <c r="L73" i="2"/>
  <c r="M79" i="2"/>
  <c r="M77" i="2"/>
  <c r="M75" i="2"/>
  <c r="M73" i="2"/>
  <c r="L65" i="2"/>
  <c r="M65" i="2"/>
  <c r="M63" i="2"/>
  <c r="M61" i="2"/>
  <c r="L63" i="2"/>
  <c r="L61" i="2"/>
  <c r="M59" i="2"/>
  <c r="L59" i="2"/>
  <c r="L67" i="2"/>
  <c r="L53" i="2"/>
  <c r="M67" i="2"/>
  <c r="M53" i="2"/>
  <c r="M51" i="2"/>
  <c r="L51" i="2"/>
  <c r="M49" i="2"/>
  <c r="L49" i="2"/>
  <c r="L47" i="2"/>
  <c r="M47" i="2"/>
  <c r="M41" i="2"/>
  <c r="M39" i="2"/>
  <c r="M35" i="2"/>
  <c r="M25" i="2"/>
  <c r="M23" i="2"/>
  <c r="M21" i="2"/>
  <c r="M19" i="2"/>
  <c r="M13" i="2"/>
  <c r="M11" i="2"/>
  <c r="M9" i="2"/>
  <c r="M117" i="2"/>
  <c r="M115" i="2"/>
  <c r="M113" i="2"/>
  <c r="M111" i="2"/>
  <c r="L115" i="2"/>
  <c r="L117" i="2"/>
  <c r="L113" i="2"/>
  <c r="L111" i="2"/>
  <c r="B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<sst xmlns="http://schemas.openxmlformats.org/spreadsheetml/2006/main" count="1476" uniqueCount="557">
  <si>
    <t xml:space="preserve">DISCURSOS PÚBLICOS PRONUNCIADOS </t>
  </si>
  <si>
    <t>TEMA</t>
  </si>
  <si>
    <t>FECHA QUE SE PRESENTO</t>
  </si>
  <si>
    <t>Cómo le afecta a usted el Reino de Dios</t>
  </si>
  <si>
    <t>Siga buscando el Reino de Dios</t>
  </si>
  <si>
    <t>¿Quién es su Dios?</t>
  </si>
  <si>
    <t>¿Qué clase de nombre se está haciendo con Dios?</t>
  </si>
  <si>
    <t>Aguantemos la persecución</t>
  </si>
  <si>
    <t>Se siega lo que se siembra</t>
  </si>
  <si>
    <t>¿En las promesas de quién confía usted?</t>
  </si>
  <si>
    <t>El único remedio para la humanidad enferma</t>
  </si>
  <si>
    <t>¿Tiene usted espíritu evangelizador?</t>
  </si>
  <si>
    <t>Trabaje como esclavo para el amo de la siega</t>
  </si>
  <si>
    <t>Dedique tiempo a meditar en asuntos espirituales</t>
  </si>
  <si>
    <t>¿Guarda usted rencor o perdona?</t>
  </si>
  <si>
    <t>Cifre su confianza en Jehová</t>
  </si>
  <si>
    <t>Cómo mantenerse despierto espiritualmente</t>
  </si>
  <si>
    <t>El amor identifica a la congregación cristiana verdadera</t>
  </si>
  <si>
    <t>Adquiera un corazón de sabiduría</t>
  </si>
  <si>
    <t>Los ojos de Jehová están sobre nosotros</t>
  </si>
  <si>
    <t>¿Reconoce usted la soberanía de Jehová en su vida personal?</t>
  </si>
  <si>
    <t>¿Cifra usted su esperanza en la ciencia, o en la Biblia?</t>
  </si>
  <si>
    <t>¿Quiénes llenan los requisitos para ser ministros de Dios?</t>
  </si>
  <si>
    <t>El tiempo de juicio para la religión</t>
  </si>
  <si>
    <t>¿Escapará usted de lo que le espera a este mundo?</t>
  </si>
  <si>
    <t>Buenas nuevas en un mundo violento</t>
  </si>
  <si>
    <t>¿Qué relación tiene usted con Dios?</t>
  </si>
  <si>
    <t>¿Por qué regir su vida por las normas bíblicas?</t>
  </si>
  <si>
    <t>La presencia y la gobernación del Mesías</t>
  </si>
  <si>
    <t>El papel de la religión en los asuntos del mundo</t>
  </si>
  <si>
    <t>¿Es Dios el causante de los desastres naturales?</t>
  </si>
  <si>
    <t>La religión verdadera satisface las necesidades de la sociedad humana</t>
  </si>
  <si>
    <t>La Biblia ante las prácticas espiritistas</t>
  </si>
  <si>
    <t>Permanezcamos sin culpa en medio de una generación torcida</t>
  </si>
  <si>
    <t>Por qué se puede confiar en la Biblia</t>
  </si>
  <si>
    <t>La amistad verdadera con Dios y con el prójimo</t>
  </si>
  <si>
    <t>Jehová, el Magnífico Creador</t>
  </si>
  <si>
    <t>Usted puede experimentar gozo al servir a Dios</t>
  </si>
  <si>
    <t>Cómo obtener consuelo en toda tribulación</t>
  </si>
  <si>
    <t>Dios dará su merecido a los que arruinan la Tierra</t>
  </si>
  <si>
    <t>Mantengamos una buena conciencia en un mundo pecador</t>
  </si>
  <si>
    <t>Superemos el temor al futuro</t>
  </si>
  <si>
    <t>El Reino de Dios está cerca</t>
  </si>
  <si>
    <t>La familia feliz es la que pone a Dios en primer lugar</t>
  </si>
  <si>
    <t>¿Qué logra la curación de las naciones?</t>
  </si>
  <si>
    <t>Cómo mostrar amor en un mundo desaforado</t>
  </si>
  <si>
    <t>Aprecie las maravillas de la creación de Dios</t>
  </si>
  <si>
    <t>Cómo protegernos de las trampas de Satanás</t>
  </si>
  <si>
    <t>Sea sabio al elegir sus compañías</t>
  </si>
  <si>
    <t>Cómo vencer el mal con el bien</t>
  </si>
  <si>
    <t>Veamos a los jóvenes como los ve Jehová</t>
  </si>
  <si>
    <t>Razones para someterse hoy al gobierno de Dios</t>
  </si>
  <si>
    <t>Una hermandad mundial rescatada de la calamidad</t>
  </si>
  <si>
    <t>¿De qué fuente vendrá la paz mundial?</t>
  </si>
  <si>
    <t>Por qué deben ser diferentes los cristianos</t>
  </si>
  <si>
    <t>Razones para confiar en el origen divino de la Biblia</t>
  </si>
  <si>
    <t>Por qué necesita la humanidad un rescate</t>
  </si>
  <si>
    <t>¿Quién puede ser salvo?</t>
  </si>
  <si>
    <t>¿Qué nos sucede cuando morimos?</t>
  </si>
  <si>
    <t>¿Es el infierno realmente un lugar de tormento?</t>
  </si>
  <si>
    <t>La Tierra existirá para siempre</t>
  </si>
  <si>
    <t>¿De verdad existe el Diablo?</t>
  </si>
  <si>
    <t>¿Importa lo que creemos sobre el origen de los seres humanos?</t>
  </si>
  <si>
    <t>¿Deben guardar los cristianos un día de descanso?</t>
  </si>
  <si>
    <t>La santidad de la vida y la sangre</t>
  </si>
  <si>
    <t>¿Aprueba Dios las imágenes en la adoración?</t>
  </si>
  <si>
    <t>¿De verdad tuvieron lugar los milagros de la Biblia?</t>
  </si>
  <si>
    <t>Vivamos con buen juicio en un mundo perverso</t>
  </si>
  <si>
    <t>Sabiduría piadosa en un mundo de orientación científica</t>
  </si>
  <si>
    <t>¿Cuándo dejará de gemir la creación humana?</t>
  </si>
  <si>
    <t>Por qué refugiarse en Jehová</t>
  </si>
  <si>
    <t>Confiemos en el Dios de todo consuelo</t>
  </si>
  <si>
    <t>Una congregación leal bajo la dirección de Cristo</t>
  </si>
  <si>
    <t>¿Quién es como Jehová nuestro Dios?</t>
  </si>
  <si>
    <t>Utilice la educación para alabar a Jehová</t>
  </si>
  <si>
    <t>Confíe en el poder salvador de Jehová</t>
  </si>
  <si>
    <t>¿Ve usted la vida como la ve Dios?</t>
  </si>
  <si>
    <t>¿Anda usted con Dios?</t>
  </si>
  <si>
    <t>Jehová es “una altura segura” para su pueblo</t>
  </si>
  <si>
    <t>¿Cuándo y por qué vendrá el verdadero Armagedón?</t>
  </si>
  <si>
    <t>El gobierno del hombre, pesado en la balanza</t>
  </si>
  <si>
    <t>¿Es el día del juicio un tiempo de temor, o de esperanza?</t>
  </si>
  <si>
    <t>Cómo adornan los cristianos la enseñanza divina</t>
  </si>
  <si>
    <t>Seamos valerosos y confiemos en Jehová</t>
  </si>
  <si>
    <t>Cómo encontrar seguridad en un mundo peligroso</t>
  </si>
  <si>
    <t>¿Por qué sufrió y murió Jesús?</t>
  </si>
  <si>
    <t>Liberados de un mundo de oscuridad</t>
  </si>
  <si>
    <t>¿Por qué temer al Dios verdadero?</t>
  </si>
  <si>
    <t>¿Sigue Dios ejerciendo la soberanía sobre la Tierra?</t>
  </si>
  <si>
    <t>Afrontemos el futuro con fe y valor</t>
  </si>
  <si>
    <t>Actuemos con sabiduría en este mundo insensato</t>
  </si>
  <si>
    <t>Cómo sentirse seguro en este mundo turbulento</t>
  </si>
  <si>
    <t>Num.</t>
  </si>
  <si>
    <t>Titulo</t>
  </si>
  <si>
    <t>Lo que Dios espera de nosotros siempre nos beneficia</t>
  </si>
  <si>
    <t>¿Cómo le benefician a usted las enseñanzas de Jesús?</t>
  </si>
  <si>
    <t>Mantengamos nuestra confianza fuerte hasta el fin</t>
  </si>
  <si>
    <t>Cómo ser leales ante las pruebas</t>
  </si>
  <si>
    <t>¿Viviremos algún día en una Tierra limpia?</t>
  </si>
  <si>
    <t>Cómo tomar buenas decisiones</t>
  </si>
  <si>
    <t>¿Está la verdad transformando su vida?</t>
  </si>
  <si>
    <t>¿Piensa usted igual que Dios?</t>
  </si>
  <si>
    <t>Tenga fe en Dios y sus promesas</t>
  </si>
  <si>
    <t>¿Cómo puede ganarse una buena reputación ante Dios?</t>
  </si>
  <si>
    <t>¿Amamos los placeres en vez de a Dios?</t>
  </si>
  <si>
    <t>¿Será usted un buen trabajador en la cosecha?</t>
  </si>
  <si>
    <t>Medite en la Palabra de Jehová y en su creación</t>
  </si>
  <si>
    <t>¿Por qué es importante mostrar amor desinteresado?</t>
  </si>
  <si>
    <t>Ahora es el momento de estar despiertos</t>
  </si>
  <si>
    <t>El amor identifica a la religión verdadera</t>
  </si>
  <si>
    <t>Consigamos que nuestro corazón sea sabio</t>
  </si>
  <si>
    <t>¿Pueden los principios bíblicos ayudarnos a afrontar los problemas de nuestro tiempo?</t>
  </si>
  <si>
    <t>“Sean siempre hospitalarios”</t>
  </si>
  <si>
    <t>Sirva a Jehová con alegría</t>
  </si>
  <si>
    <t>¿A quién prefiere como amigo?</t>
  </si>
  <si>
    <t>¿Confía usted en la ciencia o en la Biblia?</t>
  </si>
  <si>
    <t>¿Quiénes están preparados para hacer discípulos?</t>
  </si>
  <si>
    <t>Jehová y Cristo: ¿son ellos parte de una trinidad?</t>
  </si>
  <si>
    <t>Por qué vivir de acuerdo con las normas de la Biblia</t>
  </si>
  <si>
    <t>¡Venga a beber el agua de la verdad!</t>
  </si>
  <si>
    <t>¿Cuál es el futuro de la religión?</t>
  </si>
  <si>
    <t>Joven, ¿cómo puedes ser feliz y tener éxito?</t>
  </si>
  <si>
    <t>Por qué es provechoso que los cristianos se mantengan separados del mundo</t>
  </si>
  <si>
    <t>¿Enseña la Biblia que Dios es una trinidad?</t>
  </si>
  <si>
    <t>La resurrección: una victoria sobre la muerte</t>
  </si>
  <si>
    <t>¿Ha llegado la hora del juicio de Babilonia?</t>
  </si>
  <si>
    <t>N°</t>
  </si>
  <si>
    <t>Tema</t>
  </si>
  <si>
    <t xml:space="preserve">Canción </t>
  </si>
  <si>
    <t>Opcional</t>
  </si>
  <si>
    <t>¿Conoce bien a Dios?</t>
  </si>
  <si>
    <t>FE/ESPIRITUALIDAD</t>
  </si>
  <si>
    <t>2, 4</t>
  </si>
  <si>
    <t>¿Sobreviviremos a los últimos días?</t>
  </si>
  <si>
    <t>ULTIMOS DIAS/JUICIO DE DIOS</t>
  </si>
  <si>
    <t>139, 144</t>
  </si>
  <si>
    <t>Avancemos con la organización unida de Jehová</t>
  </si>
  <si>
    <t>RELIGION/ADORACION</t>
  </si>
  <si>
    <t>El mundo que nos rodea prueba que Dios existe</t>
  </si>
  <si>
    <t>BIBLIA/DIOS</t>
  </si>
  <si>
    <t>6, 11</t>
  </si>
  <si>
    <t>Ayuda práctica para las familias</t>
  </si>
  <si>
    <t>FAMILIA/JOVENES</t>
  </si>
  <si>
    <t>131, 132</t>
  </si>
  <si>
    <t>¿Qué aprendemos del diluvio de los días de Noé?</t>
  </si>
  <si>
    <t>Imitemos al "padre de tiernas misericordias"</t>
  </si>
  <si>
    <t>NORMAS Y CUALIDADES CRISTIANAS</t>
  </si>
  <si>
    <t>Vivamos para hacer la voluntad de Dios, no la nuestra</t>
  </si>
  <si>
    <t>Escuchemos y pongamos en práctica la Palabra de Dios</t>
  </si>
  <si>
    <t>Seamos honrados en todo</t>
  </si>
  <si>
    <t>Imitemos a Jesús, y no seamos parte del mundo</t>
  </si>
  <si>
    <t>MUNDO, NO SER PARTE DEL</t>
  </si>
  <si>
    <t>A Dios le importa como vemos la autoridad</t>
  </si>
  <si>
    <t>Cómo ve Dios el sexo y el matrimonio</t>
  </si>
  <si>
    <t>Un pueblo limpio da gloria a Jehová</t>
  </si>
  <si>
    <t>29, 39</t>
  </si>
  <si>
    <t>"Hagamos el bien a todos"</t>
  </si>
  <si>
    <t>Fortalezcamos nuestra amistad con Dios</t>
  </si>
  <si>
    <t>Demos gloria a Dios con todo lo que tenemos</t>
  </si>
  <si>
    <t>EVANGELIZACION/MINISTERIO</t>
  </si>
  <si>
    <t>Haga de Jehová su "fortaleza"</t>
  </si>
  <si>
    <t>Cómo puede usted conocer su futuro</t>
  </si>
  <si>
    <t>REINO/PARAISO</t>
  </si>
  <si>
    <t>¿Ha llegado el tiempo para que Dios gobierne el mundo?</t>
  </si>
  <si>
    <t>Valoremos nuestro lugar en el Reino de Dios</t>
  </si>
  <si>
    <t>¿Aprovecha usted todas las ayudas espirituales que Jehová nos da?</t>
  </si>
  <si>
    <t>La vida tiene propósito</t>
  </si>
  <si>
    <t>¿Ha encontrado usted "una perla muy valiosa"?</t>
  </si>
  <si>
    <t>Luchemos contra el espíritu del mundo</t>
  </si>
  <si>
    <t>(No está disponible)</t>
  </si>
  <si>
    <t>Cómo iniciar bien un matrimonio</t>
  </si>
  <si>
    <t>Muestre amor y respeto en su matrimonio</t>
  </si>
  <si>
    <t>Las responsabilidades y las recompensas que tienen los padres</t>
  </si>
  <si>
    <t>Cómo mejorar la comunicación en la familia</t>
  </si>
  <si>
    <t>¿Estamos al tanto de nuestras necesidades espirituales?</t>
  </si>
  <si>
    <t>57, 58</t>
  </si>
  <si>
    <t>Cómo enfrentarse a las inquietudes de la vida</t>
  </si>
  <si>
    <t>PRUEBAS/PROBLEMAS</t>
  </si>
  <si>
    <t>¿Habrá algún día justicia para todos?</t>
  </si>
  <si>
    <t>34, 36</t>
  </si>
  <si>
    <t>¿Está usted marcado para sobrevivir?</t>
  </si>
  <si>
    <t>¿Se puede vivir para siempre? ¿Lo logrará usted?</t>
  </si>
  <si>
    <t>140, 141</t>
  </si>
  <si>
    <t>¿Es esta vida todo lo que podemos esperar?</t>
  </si>
  <si>
    <t>145, 146</t>
  </si>
  <si>
    <t>¿Por qué andar en el camino de Dios?</t>
  </si>
  <si>
    <t>¿Cómo puede usted sobrevivir al fin del mundo?</t>
  </si>
  <si>
    <t>34, 122</t>
  </si>
  <si>
    <t>!Seguros de la victoria divina!</t>
  </si>
  <si>
    <t>"Estense quietos y vean como los salva Jehová"</t>
  </si>
  <si>
    <t>22, 23</t>
  </si>
  <si>
    <t>Sigamos el camino que lleva a la vida</t>
  </si>
  <si>
    <t>124, 126</t>
  </si>
  <si>
    <t>Como ser leales antes las pruebas</t>
  </si>
  <si>
    <t>¿Viviremos algún día en una tierra limpia?</t>
  </si>
  <si>
    <t>144, 146</t>
  </si>
  <si>
    <t>Edifique su fe en el hacedor del hombre</t>
  </si>
  <si>
    <t>118, 119</t>
  </si>
  <si>
    <t>¿En que líder podemos confiar?</t>
  </si>
  <si>
    <t>14, 15</t>
  </si>
  <si>
    <t>128, 129</t>
  </si>
  <si>
    <t>¿Quiénes son los verdaderos discípulos de Cristo?</t>
  </si>
  <si>
    <t>¿Qué propósito tiene la vida?</t>
  </si>
  <si>
    <t>51, 52</t>
  </si>
  <si>
    <t>¿En las promesas de quien confía usted?</t>
  </si>
  <si>
    <t>145, 147</t>
  </si>
  <si>
    <t>142, 144</t>
  </si>
  <si>
    <t>53, 57</t>
  </si>
  <si>
    <t>¿Amadores de placeres o amadores de Dios?</t>
  </si>
  <si>
    <t>¿Cómo podemos ser pacíficos en un mundo violento?</t>
  </si>
  <si>
    <t>64, 76</t>
  </si>
  <si>
    <t>68, 84</t>
  </si>
  <si>
    <t>renovemos el espítitu de abnegación</t>
  </si>
  <si>
    <t>13, 75</t>
  </si>
  <si>
    <t>106, 109</t>
  </si>
  <si>
    <t>36, 135</t>
  </si>
  <si>
    <t>21, 24</t>
  </si>
  <si>
    <t>35, 48</t>
  </si>
  <si>
    <t>siga la senda de la hospitalidad</t>
  </si>
  <si>
    <t>sirva a jehová con corazón gozoso</t>
  </si>
  <si>
    <t>110, 111</t>
  </si>
  <si>
    <t>La amistad con Dios o la amistad con el mundo: ¿cuál escogerá usted?</t>
  </si>
  <si>
    <t>98, 140</t>
  </si>
  <si>
    <t>2, 15</t>
  </si>
  <si>
    <t>23, 24</t>
  </si>
  <si>
    <t>73, 143</t>
  </si>
  <si>
    <t>las oraciones que Dios escucha</t>
  </si>
  <si>
    <t>28, 30</t>
  </si>
  <si>
    <t>96, 97</t>
  </si>
  <si>
    <t>!Venga, el que tenga sed de la verdad!</t>
  </si>
  <si>
    <t>Esfuércese por conseguir la vida que realmente es vida</t>
  </si>
  <si>
    <t>140, 143</t>
  </si>
  <si>
    <t>La presencia y gobernación del Mesías</t>
  </si>
  <si>
    <t>La religion verdadera sastiface las necesidades de la sociedad humana</t>
  </si>
  <si>
    <t>33, 38</t>
  </si>
  <si>
    <t>95, 96</t>
  </si>
  <si>
    <t>"La escena de este mundo está cambiando"</t>
  </si>
  <si>
    <t>96, 98</t>
  </si>
  <si>
    <t>5, 11</t>
  </si>
  <si>
    <t>Prestemos atención a la palabra profética</t>
  </si>
  <si>
    <t>Padres, ¿están edificando con materiales incombustibles?</t>
  </si>
  <si>
    <t>Como obtener consuelo en toda tribulación</t>
  </si>
  <si>
    <t>57, 70</t>
  </si>
  <si>
    <t>105, 107</t>
  </si>
  <si>
    <t>116, 117</t>
  </si>
  <si>
    <t>99, 101</t>
  </si>
  <si>
    <t>63, 127</t>
  </si>
  <si>
    <t>Razones para creer en el origen divino de la Biblia</t>
  </si>
  <si>
    <t>140, 151</t>
  </si>
  <si>
    <t>Es la trinidad una enseñanza bíblica?</t>
  </si>
  <si>
    <t>1, 104</t>
  </si>
  <si>
    <t>139, 145</t>
  </si>
  <si>
    <t>La resurreción: una victoria sobre la muerte</t>
  </si>
  <si>
    <t>86, 88</t>
  </si>
  <si>
    <t>¿Aprueba Dios las inmagenes en la adoración?</t>
  </si>
  <si>
    <t>¿Quién es Jesucristo en realidad?</t>
  </si>
  <si>
    <t>15, 16</t>
  </si>
  <si>
    <t>139, 142</t>
  </si>
  <si>
    <t>41, 44</t>
  </si>
  <si>
    <t>35, 86</t>
  </si>
  <si>
    <t>148, 150</t>
  </si>
  <si>
    <t>30, 31</t>
  </si>
  <si>
    <t>¿Está este mundo condenado a la destrucción?</t>
  </si>
  <si>
    <t>146, 147</t>
  </si>
  <si>
    <t>Jehová es "una altura segura" para su pueblo</t>
  </si>
  <si>
    <t>Cuándo y por qué vendra el verdadero Armagedón?</t>
  </si>
  <si>
    <t>Estemos muy pendientes del "impresionante día de Jehová"</t>
  </si>
  <si>
    <t>¿Ha llegado la hora de juicio de Babilonia?</t>
  </si>
  <si>
    <t>¿Es el día de juicio un tiempo de temor,o de esperanza?</t>
  </si>
  <si>
    <t>Seamos valerosos y confiemos en jehová</t>
  </si>
  <si>
    <t>Protejamos nuestra identidad cristiana</t>
  </si>
  <si>
    <t>18, 20</t>
  </si>
  <si>
    <t>72, 77</t>
  </si>
  <si>
    <t>¿A qué valores concedemos más importancia?</t>
  </si>
  <si>
    <t>21, 35</t>
  </si>
  <si>
    <t>¿Por qué debemos guiarnos por la Biblia?</t>
  </si>
  <si>
    <t>¿Quién es el único que puede gobernar bien a la humanidad?</t>
  </si>
  <si>
    <t>Usted puededisfrutar de la vida en paz ahora y para siempre</t>
  </si>
  <si>
    <t>¿Qué posición tenemos ante Dios?</t>
  </si>
  <si>
    <t>¿Le importa a Dios que religión tengamos?</t>
  </si>
  <si>
    <t>54, 60</t>
  </si>
  <si>
    <t>¿Quién sera dgno de entrar en el nuevo mundo de Dios?</t>
  </si>
  <si>
    <t>¿Qué pruebas demuestran la autenticidad de la Biblia?</t>
  </si>
  <si>
    <t>¿Cuándo tendremos verdadera paz y segurudad?</t>
  </si>
  <si>
    <t>A quién podemos acudir en tiempos de angustia?</t>
  </si>
  <si>
    <t>4, 7</t>
  </si>
  <si>
    <t>Andemos en el camino de la integridad</t>
  </si>
  <si>
    <t>Rechace las fantasías mudanales; busque las realidades del Reino</t>
  </si>
  <si>
    <t>¿Por qué debe ser real para nosotros la esperanza de la resurreción?</t>
  </si>
  <si>
    <t>¿Falta menos de lo que usted cree?</t>
  </si>
  <si>
    <t>¿Qué esta haciendo por nosotros el Reino de Dios?</t>
  </si>
  <si>
    <t>Alejemos la mirada de lo que inútil</t>
  </si>
  <si>
    <t>¿Es la muerte el final de todo?</t>
  </si>
  <si>
    <t>¿Influye la verdad en su vida?</t>
  </si>
  <si>
    <t>Unidos al feliz pueblo de Dios</t>
  </si>
  <si>
    <t>¿Cómo es posible que un Dios de amor permita la maldad?</t>
  </si>
  <si>
    <t>¿Ha puesto usted su confianza en Jehová?</t>
  </si>
  <si>
    <t>Andar con Dios nos beneficia ahora y para siempre</t>
  </si>
  <si>
    <t>Una familia unida y feliz para siempre</t>
  </si>
  <si>
    <t>Cómo vence al mundo la fe  y el amor</t>
  </si>
  <si>
    <t>107, 119</t>
  </si>
  <si>
    <t>Anda usted por el camino que lleva a la vida eterna?</t>
  </si>
  <si>
    <t>54, 88</t>
  </si>
  <si>
    <t>Pronto se nos librará de la angustia mundial</t>
  </si>
  <si>
    <t>Cómo nos beneficia la sabiduría divina</t>
  </si>
  <si>
    <t>31, 37</t>
  </si>
  <si>
    <t>Fecha</t>
  </si>
  <si>
    <t>Discursante</t>
  </si>
  <si>
    <t>Canción</t>
  </si>
  <si>
    <t>DISCURSOS PUBLICOS</t>
  </si>
  <si>
    <t>Enero</t>
  </si>
  <si>
    <t>Febrero</t>
  </si>
  <si>
    <t>Anotaciones adicionales</t>
  </si>
  <si>
    <t>Hora</t>
  </si>
  <si>
    <t>Numero de contacto</t>
  </si>
  <si>
    <t>¿Asistio?</t>
  </si>
  <si>
    <t>¿Presento otro bosquejo?</t>
  </si>
  <si>
    <t>ROL DE DISCURSOS</t>
  </si>
  <si>
    <t>Congregaciones que nos tocá visitar</t>
  </si>
  <si>
    <t>Congregación:</t>
  </si>
  <si>
    <t>Ubicación:</t>
  </si>
  <si>
    <t>Oscar Abel Rojas Barrios</t>
  </si>
  <si>
    <t>Oradores congregación "El Castillo"</t>
  </si>
  <si>
    <t>Nombre</t>
  </si>
  <si>
    <t>Contacto</t>
  </si>
  <si>
    <t>No.</t>
  </si>
  <si>
    <t>Marco Antonio Zatarain Barrón</t>
  </si>
  <si>
    <t>+52 6691907833</t>
  </si>
  <si>
    <t>Ricardo Toledo Saenz</t>
  </si>
  <si>
    <t>Ramón Rojas Barrios</t>
  </si>
  <si>
    <t>Saúl Salas Quiñones</t>
  </si>
  <si>
    <t>Gerson Daniel Saenz Lizarraga</t>
  </si>
  <si>
    <t>+52 6691973020</t>
  </si>
  <si>
    <t>+52 6692680928</t>
  </si>
  <si>
    <t>+52 6692518642</t>
  </si>
  <si>
    <t>+52 6691659845</t>
  </si>
  <si>
    <t>+52 6691661333</t>
  </si>
  <si>
    <t>#</t>
  </si>
  <si>
    <t>Marzo</t>
  </si>
  <si>
    <t>Visitas a la congregación "El Castillo"</t>
  </si>
  <si>
    <t>Anciano</t>
  </si>
  <si>
    <t>Siervo Ministerial</t>
  </si>
  <si>
    <t>¿Como tomará usted sus decisiones?</t>
  </si>
  <si>
    <t>¿A quien podemos acudir en tiempos de angustia?</t>
  </si>
  <si>
    <t>Porque deben ser diferentes los cristianos</t>
  </si>
  <si>
    <t>¿Qué aprendemos del Diluvio universal?</t>
  </si>
  <si>
    <t>Alejemos la mirada de lo que es inútil</t>
  </si>
  <si>
    <t>¿Sobreviviremos a los ultimos días?</t>
  </si>
  <si>
    <t>¿Como obtener consuelo en toda tribulación?</t>
  </si>
  <si>
    <t>"Siga el camino a la vida"</t>
  </si>
  <si>
    <t>Abril</t>
  </si>
  <si>
    <t>Carranza</t>
  </si>
  <si>
    <t>Mayo</t>
  </si>
  <si>
    <t>Junio</t>
  </si>
  <si>
    <t>Si</t>
  </si>
  <si>
    <t>Marco Antonio Zatarain Barron</t>
  </si>
  <si>
    <t>Carlos Rafael Sanchez Toledo</t>
  </si>
  <si>
    <t>Congregación</t>
  </si>
  <si>
    <t>Cong. El Castillo</t>
  </si>
  <si>
    <t>Asamblea de circuito</t>
  </si>
  <si>
    <t>¿Anda usted por el camino que lleva a la vida eterna?</t>
  </si>
  <si>
    <t>La Sirena</t>
  </si>
  <si>
    <t>Ricardo T.</t>
  </si>
  <si>
    <t>Marco Z</t>
  </si>
  <si>
    <t>Saul Salas</t>
  </si>
  <si>
    <t>Ramon Rojas</t>
  </si>
  <si>
    <t>Oscar Rojas</t>
  </si>
  <si>
    <t>Julio</t>
  </si>
  <si>
    <t>Agosto</t>
  </si>
  <si>
    <t>Septiembre</t>
  </si>
  <si>
    <t>Octubre</t>
  </si>
  <si>
    <t>Noviembre</t>
  </si>
  <si>
    <t>Diciembre</t>
  </si>
  <si>
    <t>Santa Fe</t>
  </si>
  <si>
    <t xml:space="preserve"> </t>
  </si>
  <si>
    <r>
      <t xml:space="preserve">Coordinador de discursos: </t>
    </r>
    <r>
      <rPr>
        <sz val="12"/>
        <color theme="1"/>
        <rFont val="Calibri"/>
        <family val="2"/>
        <scheme val="minor"/>
      </rPr>
      <t>Marco A. Zatarain</t>
    </r>
  </si>
  <si>
    <t>Reunión: Sabado 6:00 PM</t>
  </si>
  <si>
    <r>
      <rPr>
        <b/>
        <sz val="11"/>
        <color theme="1"/>
        <rFont val="Calibri"/>
        <family val="2"/>
        <scheme val="minor"/>
      </rPr>
      <t>Número celular:</t>
    </r>
    <r>
      <rPr>
        <sz val="11"/>
        <color theme="1"/>
        <rFont val="Calibri"/>
        <family val="2"/>
        <scheme val="minor"/>
      </rPr>
      <t xml:space="preserve"> 6691907833</t>
    </r>
  </si>
  <si>
    <t>Estemos muy pendientes del “impresionante día de Jehová”</t>
  </si>
  <si>
    <t>Pradera Dorada</t>
  </si>
  <si>
    <t>Tulipan</t>
  </si>
  <si>
    <t>+52 669 134 6338</t>
  </si>
  <si>
    <t xml:space="preserve">Registro de roles </t>
  </si>
  <si>
    <t>Meses</t>
  </si>
  <si>
    <t>Lomas de Juarez</t>
  </si>
  <si>
    <t>El Roble</t>
  </si>
  <si>
    <t>Costa dorada</t>
  </si>
  <si>
    <t>Local</t>
  </si>
  <si>
    <t>Orden para salir</t>
  </si>
  <si>
    <t>Carlos Sanchez</t>
  </si>
  <si>
    <t>A</t>
  </si>
  <si>
    <t>Mar de Cortez</t>
  </si>
  <si>
    <t>Naval</t>
  </si>
  <si>
    <t>Dia y hora:</t>
  </si>
  <si>
    <t>Campestre</t>
  </si>
  <si>
    <t>Daniel Saenz</t>
  </si>
  <si>
    <t>Pino Suarez</t>
  </si>
  <si>
    <t>Olimpica</t>
  </si>
  <si>
    <t>Rol local</t>
  </si>
  <si>
    <t>Verificar</t>
  </si>
  <si>
    <t>¿A quién podemos acudir en tiempos de angustia?</t>
  </si>
  <si>
    <t>¿Es esta vida todo lo que podamos esperar?</t>
  </si>
  <si>
    <t>Valoremos nuestro lugar en el reino de Dios</t>
  </si>
  <si>
    <t>Fortelezcamos nuestra amistad con Dios</t>
  </si>
  <si>
    <t>¿Qué aprendemos del diluvio universal?</t>
  </si>
  <si>
    <t>A Dios le importa cómo vemos la autoridad</t>
  </si>
  <si>
    <t>Usted puede disfrutar de la vida en paz ahora y para siempre</t>
  </si>
  <si>
    <t>¿Le importa a Dios qué religión tengamos?</t>
  </si>
  <si>
    <t>¿Cuándo tendremos verdadera paz y seguridad?</t>
  </si>
  <si>
    <t>Rechace las fantasías mundanales; busque las realidades del Reino</t>
  </si>
  <si>
    <t>¿Por qué debe ser real para nosotros la esperanza de la resurrección?</t>
  </si>
  <si>
    <t>¿Faltará menos de lo que usted cree?</t>
  </si>
  <si>
    <t>¿Qué está haciendo por nosotros el Reino de Dios?</t>
  </si>
  <si>
    <t>Cómo vencen al mundo la fe y el amor</t>
  </si>
  <si>
    <t>Pronto se nos librera de la angustia mundial</t>
  </si>
  <si>
    <t>"Estense quietos y vean cómo los salva Jehová"</t>
  </si>
  <si>
    <t>Hospitalidad</t>
  </si>
  <si>
    <t>Grupo</t>
  </si>
  <si>
    <t xml:space="preserve">Insurgentes </t>
  </si>
  <si>
    <t>Estadio</t>
  </si>
  <si>
    <t>Mar de Cortés</t>
  </si>
  <si>
    <t>Calle Francisco Villa #605 entre deportista y Lázaro Cárdenas,
Colonia Salvador Allende</t>
  </si>
  <si>
    <t xml:space="preserve"> Ricardo Toledo Saenz</t>
  </si>
  <si>
    <t xml:space="preserve"> Alejemos la mirada de lo que es inútil</t>
  </si>
  <si>
    <t>Domingo 2:00 pm</t>
  </si>
  <si>
    <t>Carlos R. Sánchez Toledo</t>
  </si>
  <si>
    <t xml:space="preserve"> Oscar A. Rojas Barrios</t>
  </si>
  <si>
    <t xml:space="preserve">Si </t>
  </si>
  <si>
    <t>Escolar 28, Urías, 82099 Mazatlán, Sin.</t>
  </si>
  <si>
    <t>Domingo 9:30 am</t>
  </si>
  <si>
    <t>Sabado 7:00 pm</t>
  </si>
  <si>
    <t>Francisco Villa</t>
  </si>
  <si>
    <t>Barron</t>
  </si>
  <si>
    <t>Redonda</t>
  </si>
  <si>
    <t>Baldo</t>
  </si>
  <si>
    <t xml:space="preserve">Fidel Arturo Cardenas F. </t>
  </si>
  <si>
    <t>Azahel Ramirez</t>
  </si>
  <si>
    <t>+52 669 273 6232</t>
  </si>
  <si>
    <t xml:space="preserve">“Sean siempre hospitalarios” </t>
  </si>
  <si>
    <t>Cómo lograr que dios escuché nuestras oraciones</t>
  </si>
  <si>
    <t>Luis Muñoz</t>
  </si>
  <si>
    <t>+52 669 593 2761</t>
  </si>
  <si>
    <t>¿Quién es su dios?</t>
  </si>
  <si>
    <t>¿Faltará menos de lo que usted cree?</t>
  </si>
  <si>
    <t>m</t>
  </si>
  <si>
    <t>Estrella del Mar</t>
  </si>
  <si>
    <t>Barron, sinaloa</t>
  </si>
  <si>
    <t>No hay salidas</t>
  </si>
  <si>
    <t>Barron, Sinaloa</t>
  </si>
  <si>
    <t>Sabado 4:00 pm</t>
  </si>
  <si>
    <t>Saul Salas Quiñones</t>
  </si>
  <si>
    <t>Daniel Saenz Lizarraga</t>
  </si>
  <si>
    <t>Cruz Colin</t>
  </si>
  <si>
    <t>Congregación El Castillo</t>
  </si>
  <si>
    <t>Fidel Cardenaz</t>
  </si>
  <si>
    <t>SM</t>
  </si>
  <si>
    <t>Bicentenario</t>
  </si>
  <si>
    <t>Invitaciones</t>
  </si>
  <si>
    <t>Villas del sol</t>
  </si>
  <si>
    <t>Tronconal</t>
  </si>
  <si>
    <t>Domingo 4:00 PM</t>
  </si>
  <si>
    <t>Calle Pedro Infante #3705, Colonia Olímpica, 82150 Mazatlán, Sin.</t>
  </si>
  <si>
    <t>Salida no programada</t>
  </si>
  <si>
    <t>Sabados 4:30 PM</t>
  </si>
  <si>
    <t>Av Joaquín Escobar R., Villa Verde, 82139 Mazatlán, Sin.</t>
  </si>
  <si>
    <t xml:space="preserve">Haga de Jehová su "fortaleza" </t>
  </si>
  <si>
    <t>Marco Antonio Zatarain B.</t>
  </si>
  <si>
    <t>Domingo 9:00 AM</t>
  </si>
  <si>
    <t xml:space="preserve">Calle Bahía Magdalena #31, Col. Rincón de Urias, 82070 </t>
  </si>
  <si>
    <t>187 - ¿Cómo es posible que un Dios de amor permita la maldad?</t>
  </si>
  <si>
    <t>Asamblea Regional 2025</t>
  </si>
  <si>
    <t>Luis Muñoz Reyes</t>
  </si>
  <si>
    <t>190 - Una familia unida y feliz para siempre</t>
  </si>
  <si>
    <t>Oscar Rojas Barrios</t>
  </si>
  <si>
    <t>Marco Antonio Zatarain</t>
  </si>
  <si>
    <t>71 - Ahora es el momento de estar despiertos</t>
  </si>
  <si>
    <t>Sabado 6:00 pm</t>
  </si>
  <si>
    <t>Avenida Francisco Solís #2408Col. Francisco Villa 82127</t>
  </si>
  <si>
    <t>No aplica</t>
  </si>
  <si>
    <t>Programa especial de dedicacion de instalaciones teocraticas</t>
  </si>
  <si>
    <t>Azahel Ramírez</t>
  </si>
  <si>
    <t>Fidel Arturo Cárdenas F.</t>
  </si>
  <si>
    <t>Como lograr que Dios escuché nuestras oraciones</t>
  </si>
  <si>
    <t>Haga amistades que duren para siempre</t>
  </si>
  <si>
    <t>Oscar Rojas Plascencia</t>
  </si>
  <si>
    <t>Abel Rojas</t>
  </si>
  <si>
    <t>Ricardo Toledo</t>
  </si>
  <si>
    <t>Christopher Cardenti</t>
  </si>
  <si>
    <t>Juan Gilberto Diaz</t>
  </si>
  <si>
    <t>abel</t>
  </si>
  <si>
    <t>juan</t>
  </si>
  <si>
    <t>chris</t>
  </si>
  <si>
    <t>oscar</t>
  </si>
  <si>
    <t>fidel</t>
  </si>
  <si>
    <t>luis</t>
  </si>
  <si>
    <t>Visita del superintendente de circuito</t>
  </si>
  <si>
    <t>¿Por qué debemos guiarnos por la biblia?</t>
  </si>
  <si>
    <t>¿Tendrá usted la marca para sobrevivir?</t>
  </si>
  <si>
    <t>2026</t>
  </si>
  <si>
    <t>2027</t>
  </si>
  <si>
    <t>Imitemos al “Padre de tiernas misericordias"</t>
  </si>
  <si>
    <t>Haga de Jehová su “fortaleza”</t>
  </si>
  <si>
    <t>¿Le importamos a Dios?</t>
  </si>
  <si>
    <t>Cómo iniciar bien el matrimonio</t>
  </si>
  <si>
    <t>¿En qué sentido es Jesucristo el vencedor del mundo?</t>
  </si>
  <si>
    <t>¿Qué sucederá en el futuro cercano?</t>
  </si>
  <si>
    <t>¿Puede el amor vencer al odio?</t>
  </si>
  <si>
    <t>“Tengan fe en las buenas noticias”</t>
  </si>
  <si>
    <t>¿En qué líder podemos confiar?</t>
  </si>
  <si>
    <t>¿Cuál es su propósito en la vida?</t>
  </si>
  <si>
    <t>¿Dónde encontrará una esperanza segura?</t>
  </si>
  <si>
    <t>¿Es posible encontrar la verdad?</t>
  </si>
  <si>
    <t>“Sigan [...] perdonándose con generosidad”</t>
  </si>
  <si>
    <t>¿Por qué se merece Dios toda nuestra confianza?</t>
  </si>
  <si>
    <t xml:space="preserve"> Jehová está pendiente de nosotros</t>
  </si>
  <si>
    <t>Demuestre que apoya el gobierno de Dios</t>
  </si>
  <si>
    <t>¿Tienen que obedecer los cristianos los Diez Mandamientos?</t>
  </si>
  <si>
    <t>Cómo lograr que Dios escuche nuestras oraciones</t>
  </si>
  <si>
    <t>¿Cuándo se acabarán los desastres naturales?</t>
  </si>
  <si>
    <t xml:space="preserve"> ¡No caiga en la trampa del ocultismo!</t>
  </si>
  <si>
    <t>Jehová, el “Gran Creador”</t>
  </si>
  <si>
    <t>Prestémosle atención a “la palabra profética”</t>
  </si>
  <si>
    <t>Cómo ser verdaderamente felices</t>
  </si>
  <si>
    <t>Padres, ¿están construyendo con materiales resistentes al fuego?</t>
  </si>
  <si>
    <t>Eduquemos nuestra conciencia, y nos irá bien</t>
  </si>
  <si>
    <t>Mire al futuro sin miedo</t>
  </si>
  <si>
    <t>La humanidad recuperará la salud por completo</t>
  </si>
  <si>
    <t>Mostremos amor en un mundo egoísta</t>
  </si>
  <si>
    <t>Protéjase de las astutas trampas de Satanás</t>
  </si>
  <si>
    <t>Una hermandad mundial sobrevivirá a la mayor calamidad de la historia</t>
  </si>
  <si>
    <t>Pongámonos en contra del Diablo</t>
  </si>
  <si>
    <t>¿Deben los cristianos observar el sábado?</t>
  </si>
  <si>
    <t>Confiemos en que Jehová tiene el poder para salvarnos</t>
  </si>
  <si>
    <t>¿Qué es la verdadera fe, y cómo se demuestra?</t>
  </si>
  <si>
    <t>¿Quién será digno de entrar en el nuevo mundo de Dios?</t>
  </si>
  <si>
    <t>Apartemos la mirada de lo que no sirve para nadal</t>
  </si>
  <si>
    <t>Cómo nos beneficia la sabiduria divina</t>
  </si>
  <si>
    <t>aseo</t>
  </si>
  <si>
    <t>Ramón Rojas</t>
  </si>
  <si>
    <t>Reunión especial visita a la sucursal de centroamerica</t>
  </si>
  <si>
    <t>Congregación La Sirena</t>
  </si>
  <si>
    <t>Congregación Redonda</t>
  </si>
  <si>
    <t>Isaias Saenz</t>
  </si>
  <si>
    <t>Hector Perez</t>
  </si>
  <si>
    <t>Congregación El Verde</t>
  </si>
  <si>
    <t>Congregación Campestre</t>
  </si>
  <si>
    <t>Isvi Cobos</t>
  </si>
  <si>
    <t>Muestre respeto y amor en su matrimonio</t>
  </si>
  <si>
    <t>Noe Zatarain Perez</t>
  </si>
  <si>
    <r>
      <rPr>
        <b/>
        <i/>
        <sz val="12"/>
        <color theme="1"/>
        <rFont val="Calibri"/>
        <family val="2"/>
        <scheme val="minor"/>
      </rPr>
      <t>Reunión:</t>
    </r>
    <r>
      <rPr>
        <b/>
        <sz val="12"/>
        <color theme="1"/>
        <rFont val="Calibri"/>
        <family val="2"/>
        <scheme val="minor"/>
      </rPr>
      <t xml:space="preserve"> Domingo 10:00 am</t>
    </r>
  </si>
  <si>
    <t>Discurso especial 2026                        ¿Quién salvara el planeta?</t>
  </si>
  <si>
    <t>Omar Meza</t>
  </si>
  <si>
    <t>Jesus Roberto Osuna</t>
  </si>
  <si>
    <t>German Mora</t>
  </si>
  <si>
    <t>Noe Zatarain Madero</t>
  </si>
  <si>
    <t>Esteban Paniagua</t>
  </si>
  <si>
    <t>Jesus Hernandez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</si>
</sst>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.8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4" tint="-0.499984740745262"/>
        <bgColor rgb="FFFFFFFF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380">
    <xf numFmtId="0" fontId="0" fillId="0" borderId="0" xfId="0"/>
    <xf numFmtId="0" fontId="3" fillId="0" borderId="1" xfId="0" applyFont="1" applyBorder="1"/>
    <xf numFmtId="0" fontId="6" fillId="0" borderId="0" xfId="0" applyFont="1" applyAlignment="1">
      <alignment horizontal="center" vertical="center"/>
    </xf>
    <xf numFmtId="0" fontId="8" fillId="3" borderId="0" xfId="0" applyFont="1" applyFill="1"/>
    <xf numFmtId="0" fontId="8" fillId="3" borderId="0" xfId="0" applyFont="1" applyFill="1" applyAlignment="1">
      <alignment horizontal="center"/>
    </xf>
    <xf numFmtId="0" fontId="4" fillId="0" borderId="0" xfId="0" applyFont="1"/>
    <xf numFmtId="0" fontId="9" fillId="4" borderId="5" xfId="0" applyFont="1" applyFill="1" applyBorder="1" applyAlignment="1">
      <alignment horizontal="center"/>
    </xf>
    <xf numFmtId="0" fontId="0" fillId="0" borderId="5" xfId="0" applyBorder="1"/>
    <xf numFmtId="0" fontId="0" fillId="0" borderId="0" xfId="0" applyAlignment="1">
      <alignment horizontal="center"/>
    </xf>
    <xf numFmtId="0" fontId="0" fillId="0" borderId="5" xfId="0" applyBorder="1" applyAlignment="1">
      <alignment wrapText="1"/>
    </xf>
    <xf numFmtId="0" fontId="9" fillId="4" borderId="10" xfId="0" applyFont="1" applyFill="1" applyBorder="1" applyAlignment="1">
      <alignment horizontal="center"/>
    </xf>
    <xf numFmtId="0" fontId="0" fillId="0" borderId="5" xfId="0" applyBorder="1" applyAlignment="1">
      <alignment horizontal="right"/>
    </xf>
    <xf numFmtId="0" fontId="0" fillId="5" borderId="5" xfId="0" applyFill="1" applyBorder="1" applyAlignment="1">
      <alignment horizontal="right"/>
    </xf>
    <xf numFmtId="0" fontId="17" fillId="6" borderId="12" xfId="0" applyFont="1" applyFill="1" applyBorder="1"/>
    <xf numFmtId="0" fontId="17" fillId="6" borderId="12" xfId="0" applyFont="1" applyFill="1" applyBorder="1" applyAlignment="1">
      <alignment horizontal="center" vertical="center"/>
    </xf>
    <xf numFmtId="0" fontId="13" fillId="3" borderId="18" xfId="0" applyFont="1" applyFill="1" applyBorder="1"/>
    <xf numFmtId="0" fontId="0" fillId="3" borderId="19" xfId="0" applyFill="1" applyBorder="1"/>
    <xf numFmtId="0" fontId="4" fillId="6" borderId="5" xfId="0" applyFont="1" applyFill="1" applyBorder="1"/>
    <xf numFmtId="0" fontId="2" fillId="3" borderId="0" xfId="0" applyFont="1" applyFill="1"/>
    <xf numFmtId="0" fontId="0" fillId="0" borderId="0" xfId="0" applyAlignment="1">
      <alignment wrapText="1"/>
    </xf>
    <xf numFmtId="0" fontId="7" fillId="0" borderId="0" xfId="0" applyFont="1"/>
    <xf numFmtId="0" fontId="10" fillId="0" borderId="0" xfId="0" applyFont="1" applyAlignment="1">
      <alignment vertical="center"/>
    </xf>
    <xf numFmtId="0" fontId="11" fillId="0" borderId="15" xfId="0" applyFont="1" applyBorder="1" applyAlignment="1">
      <alignment vertical="center"/>
    </xf>
    <xf numFmtId="0" fontId="11" fillId="0" borderId="13" xfId="0" applyFont="1" applyBorder="1" applyAlignment="1">
      <alignment vertical="center"/>
    </xf>
    <xf numFmtId="0" fontId="13" fillId="8" borderId="14" xfId="0" applyFont="1" applyFill="1" applyBorder="1"/>
    <xf numFmtId="0" fontId="0" fillId="8" borderId="21" xfId="0" applyFill="1" applyBorder="1"/>
    <xf numFmtId="0" fontId="0" fillId="8" borderId="0" xfId="0" applyFill="1"/>
    <xf numFmtId="0" fontId="2" fillId="9" borderId="0" xfId="0" applyFont="1" applyFill="1"/>
    <xf numFmtId="0" fontId="14" fillId="8" borderId="12" xfId="0" applyFont="1" applyFill="1" applyBorder="1"/>
    <xf numFmtId="0" fontId="14" fillId="8" borderId="12" xfId="0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/>
    </xf>
    <xf numFmtId="0" fontId="4" fillId="8" borderId="5" xfId="0" applyFont="1" applyFill="1" applyBorder="1"/>
    <xf numFmtId="0" fontId="0" fillId="0" borderId="22" xfId="0" applyBorder="1" applyAlignment="1">
      <alignment horizontal="center"/>
    </xf>
    <xf numFmtId="0" fontId="17" fillId="6" borderId="10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0" fillId="0" borderId="5" xfId="0" applyFont="1" applyBorder="1"/>
    <xf numFmtId="0" fontId="20" fillId="12" borderId="5" xfId="0" applyFont="1" applyFill="1" applyBorder="1"/>
    <xf numFmtId="0" fontId="17" fillId="11" borderId="5" xfId="0" applyFont="1" applyFill="1" applyBorder="1" applyAlignment="1">
      <alignment wrapText="1"/>
    </xf>
    <xf numFmtId="0" fontId="17" fillId="11" borderId="5" xfId="0" applyFont="1" applyFill="1" applyBorder="1"/>
    <xf numFmtId="0" fontId="20" fillId="12" borderId="18" xfId="0" applyFont="1" applyFill="1" applyBorder="1"/>
    <xf numFmtId="0" fontId="17" fillId="11" borderId="10" xfId="0" applyFont="1" applyFill="1" applyBorder="1"/>
    <xf numFmtId="0" fontId="0" fillId="0" borderId="5" xfId="0" applyBorder="1" applyAlignment="1">
      <alignment horizontal="center" vertical="center"/>
    </xf>
    <xf numFmtId="0" fontId="10" fillId="0" borderId="22" xfId="0" applyFont="1" applyBorder="1"/>
    <xf numFmtId="0" fontId="10" fillId="0" borderId="5" xfId="0" applyFont="1" applyBorder="1" applyAlignment="1">
      <alignment horizontal="right"/>
    </xf>
    <xf numFmtId="49" fontId="10" fillId="12" borderId="18" xfId="0" applyNumberFormat="1" applyFont="1" applyFill="1" applyBorder="1"/>
    <xf numFmtId="49" fontId="10" fillId="12" borderId="19" xfId="0" applyNumberFormat="1" applyFont="1" applyFill="1" applyBorder="1"/>
    <xf numFmtId="49" fontId="10" fillId="12" borderId="20" xfId="0" applyNumberFormat="1" applyFont="1" applyFill="1" applyBorder="1"/>
    <xf numFmtId="49" fontId="10" fillId="12" borderId="17" xfId="0" applyNumberFormat="1" applyFont="1" applyFill="1" applyBorder="1"/>
    <xf numFmtId="0" fontId="10" fillId="0" borderId="0" xfId="0" applyFont="1"/>
    <xf numFmtId="0" fontId="10" fillId="0" borderId="0" xfId="0" applyFont="1" applyAlignment="1">
      <alignment horizontal="center" wrapText="1"/>
    </xf>
    <xf numFmtId="0" fontId="0" fillId="0" borderId="2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10" borderId="17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0" fontId="0" fillId="10" borderId="13" xfId="0" applyFill="1" applyBorder="1" applyAlignment="1">
      <alignment horizontal="center" vertical="center"/>
    </xf>
    <xf numFmtId="0" fontId="5" fillId="0" borderId="21" xfId="0" applyFont="1" applyBorder="1" applyAlignment="1">
      <alignment vertical="center"/>
    </xf>
    <xf numFmtId="14" fontId="0" fillId="0" borderId="0" xfId="0" applyNumberFormat="1"/>
    <xf numFmtId="14" fontId="2" fillId="3" borderId="0" xfId="0" applyNumberFormat="1" applyFont="1" applyFill="1"/>
    <xf numFmtId="14" fontId="17" fillId="6" borderId="5" xfId="0" applyNumberFormat="1" applyFont="1" applyFill="1" applyBorder="1" applyAlignment="1">
      <alignment horizontal="center"/>
    </xf>
    <xf numFmtId="0" fontId="4" fillId="6" borderId="22" xfId="0" applyFont="1" applyFill="1" applyBorder="1"/>
    <xf numFmtId="0" fontId="24" fillId="3" borderId="5" xfId="0" applyFont="1" applyFill="1" applyBorder="1"/>
    <xf numFmtId="0" fontId="9" fillId="6" borderId="5" xfId="0" applyFont="1" applyFill="1" applyBorder="1"/>
    <xf numFmtId="0" fontId="11" fillId="0" borderId="21" xfId="0" applyFont="1" applyBorder="1" applyAlignment="1">
      <alignment vertical="center"/>
    </xf>
    <xf numFmtId="0" fontId="0" fillId="13" borderId="0" xfId="0" applyFill="1"/>
    <xf numFmtId="0" fontId="31" fillId="0" borderId="2" xfId="0" applyFont="1" applyBorder="1" applyAlignment="1">
      <alignment vertical="center"/>
    </xf>
    <xf numFmtId="0" fontId="32" fillId="0" borderId="3" xfId="0" applyFont="1" applyBorder="1" applyAlignment="1">
      <alignment vertical="center"/>
    </xf>
    <xf numFmtId="16" fontId="31" fillId="0" borderId="3" xfId="0" applyNumberFormat="1" applyFont="1" applyBorder="1" applyAlignment="1">
      <alignment vertical="center"/>
    </xf>
    <xf numFmtId="14" fontId="31" fillId="0" borderId="4" xfId="0" applyNumberFormat="1" applyFont="1" applyBorder="1" applyAlignment="1">
      <alignment vertical="center"/>
    </xf>
    <xf numFmtId="0" fontId="31" fillId="0" borderId="6" xfId="0" applyFont="1" applyBorder="1" applyAlignment="1">
      <alignment vertical="center"/>
    </xf>
    <xf numFmtId="0" fontId="32" fillId="0" borderId="7" xfId="0" applyFont="1" applyBorder="1" applyAlignment="1">
      <alignment vertical="center"/>
    </xf>
    <xf numFmtId="16" fontId="31" fillId="0" borderId="7" xfId="0" applyNumberFormat="1" applyFont="1" applyBorder="1" applyAlignment="1">
      <alignment vertical="center"/>
    </xf>
    <xf numFmtId="14" fontId="31" fillId="0" borderId="7" xfId="0" applyNumberFormat="1" applyFont="1" applyBorder="1" applyAlignment="1">
      <alignment vertical="center"/>
    </xf>
    <xf numFmtId="0" fontId="32" fillId="0" borderId="7" xfId="0" applyFont="1" applyBorder="1" applyAlignment="1">
      <alignment vertical="center" wrapText="1"/>
    </xf>
    <xf numFmtId="16" fontId="31" fillId="0" borderId="7" xfId="0" applyNumberFormat="1" applyFont="1" applyBorder="1" applyAlignment="1">
      <alignment horizontal="left" vertical="center"/>
    </xf>
    <xf numFmtId="0" fontId="31" fillId="0" borderId="8" xfId="0" applyFont="1" applyBorder="1" applyAlignment="1">
      <alignment vertical="center"/>
    </xf>
    <xf numFmtId="0" fontId="32" fillId="0" borderId="9" xfId="0" applyFont="1" applyBorder="1" applyAlignment="1">
      <alignment vertical="center"/>
    </xf>
    <xf numFmtId="16" fontId="31" fillId="0" borderId="9" xfId="0" applyNumberFormat="1" applyFont="1" applyBorder="1" applyAlignment="1">
      <alignment vertical="center"/>
    </xf>
    <xf numFmtId="14" fontId="31" fillId="0" borderId="9" xfId="0" applyNumberFormat="1" applyFont="1" applyBorder="1" applyAlignment="1">
      <alignment vertical="center"/>
    </xf>
    <xf numFmtId="0" fontId="25" fillId="0" borderId="5" xfId="0" applyFont="1" applyBorder="1" applyAlignment="1">
      <alignment horizontal="center"/>
    </xf>
    <xf numFmtId="0" fontId="26" fillId="0" borderId="5" xfId="0" applyFont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17" fillId="16" borderId="18" xfId="0" applyFont="1" applyFill="1" applyBorder="1" applyAlignment="1">
      <alignment horizontal="center"/>
    </xf>
    <xf numFmtId="0" fontId="17" fillId="16" borderId="23" xfId="0" applyFont="1" applyFill="1" applyBorder="1" applyAlignment="1">
      <alignment horizontal="center"/>
    </xf>
    <xf numFmtId="0" fontId="10" fillId="14" borderId="18" xfId="0" applyFont="1" applyFill="1" applyBorder="1" applyAlignment="1">
      <alignment horizontal="center"/>
    </xf>
    <xf numFmtId="0" fontId="10" fillId="14" borderId="23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10" fillId="15" borderId="18" xfId="0" applyFont="1" applyFill="1" applyBorder="1" applyAlignment="1">
      <alignment horizontal="center"/>
    </xf>
    <xf numFmtId="0" fontId="10" fillId="15" borderId="23" xfId="0" applyFont="1" applyFill="1" applyBorder="1" applyAlignment="1">
      <alignment horizontal="center"/>
    </xf>
    <xf numFmtId="0" fontId="2" fillId="5" borderId="18" xfId="0" applyFont="1" applyFill="1" applyBorder="1" applyAlignment="1">
      <alignment horizontal="center"/>
    </xf>
    <xf numFmtId="0" fontId="2" fillId="5" borderId="19" xfId="0" applyFont="1" applyFill="1" applyBorder="1" applyAlignment="1">
      <alignment horizontal="center"/>
    </xf>
    <xf numFmtId="0" fontId="2" fillId="5" borderId="23" xfId="0" applyFont="1" applyFill="1" applyBorder="1" applyAlignment="1">
      <alignment horizontal="center"/>
    </xf>
    <xf numFmtId="0" fontId="24" fillId="16" borderId="18" xfId="0" applyFont="1" applyFill="1" applyBorder="1" applyAlignment="1">
      <alignment horizontal="center"/>
    </xf>
    <xf numFmtId="0" fontId="24" fillId="16" borderId="23" xfId="0" applyFont="1" applyFill="1" applyBorder="1" applyAlignment="1">
      <alignment horizontal="center"/>
    </xf>
    <xf numFmtId="0" fontId="0" fillId="14" borderId="18" xfId="0" applyFill="1" applyBorder="1" applyAlignment="1">
      <alignment horizontal="center"/>
    </xf>
    <xf numFmtId="0" fontId="0" fillId="14" borderId="23" xfId="0" applyFill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15" borderId="18" xfId="0" applyFill="1" applyBorder="1" applyAlignment="1">
      <alignment horizontal="center"/>
    </xf>
    <xf numFmtId="0" fontId="0" fillId="15" borderId="23" xfId="0" applyFill="1" applyBorder="1" applyAlignment="1">
      <alignment horizontal="center"/>
    </xf>
    <xf numFmtId="0" fontId="14" fillId="5" borderId="18" xfId="0" applyFont="1" applyFill="1" applyBorder="1" applyAlignment="1">
      <alignment horizontal="center"/>
    </xf>
    <xf numFmtId="0" fontId="14" fillId="5" borderId="19" xfId="0" applyFont="1" applyFill="1" applyBorder="1" applyAlignment="1">
      <alignment horizontal="center"/>
    </xf>
    <xf numFmtId="0" fontId="14" fillId="5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" fontId="10" fillId="7" borderId="22" xfId="0" applyNumberFormat="1" applyFont="1" applyFill="1" applyBorder="1" applyAlignment="1">
      <alignment horizontal="center" vertical="center"/>
    </xf>
    <xf numFmtId="16" fontId="10" fillId="7" borderId="12" xfId="0" applyNumberFormat="1" applyFont="1" applyFill="1" applyBorder="1" applyAlignment="1">
      <alignment horizontal="center" vertical="center"/>
    </xf>
    <xf numFmtId="0" fontId="15" fillId="7" borderId="17" xfId="0" applyFont="1" applyFill="1" applyBorder="1" applyAlignment="1">
      <alignment horizontal="left"/>
    </xf>
    <xf numFmtId="0" fontId="15" fillId="7" borderId="13" xfId="0" applyFont="1" applyFill="1" applyBorder="1" applyAlignment="1">
      <alignment horizontal="left"/>
    </xf>
    <xf numFmtId="0" fontId="1" fillId="0" borderId="1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0" fillId="13" borderId="22" xfId="0" applyFill="1" applyBorder="1" applyAlignment="1">
      <alignment horizontal="center" vertical="center"/>
    </xf>
    <xf numFmtId="0" fontId="0" fillId="13" borderId="12" xfId="0" applyFill="1" applyBorder="1" applyAlignment="1">
      <alignment horizontal="center" vertical="center"/>
    </xf>
    <xf numFmtId="0" fontId="0" fillId="13" borderId="14" xfId="0" applyFill="1" applyBorder="1" applyAlignment="1">
      <alignment horizontal="center" vertical="center" wrapText="1"/>
    </xf>
    <xf numFmtId="0" fontId="0" fillId="13" borderId="15" xfId="0" applyFill="1" applyBorder="1" applyAlignment="1">
      <alignment horizontal="center" vertical="center" wrapText="1"/>
    </xf>
    <xf numFmtId="0" fontId="0" fillId="13" borderId="17" xfId="0" applyFill="1" applyBorder="1" applyAlignment="1">
      <alignment horizontal="center" vertical="center" wrapText="1"/>
    </xf>
    <xf numFmtId="0" fontId="0" fillId="13" borderId="13" xfId="0" applyFill="1" applyBorder="1" applyAlignment="1">
      <alignment horizontal="center" vertical="center" wrapText="1"/>
    </xf>
    <xf numFmtId="0" fontId="0" fillId="7" borderId="22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 wrapText="1"/>
    </xf>
    <xf numFmtId="0" fontId="0" fillId="7" borderId="15" xfId="0" applyFill="1" applyBorder="1" applyAlignment="1">
      <alignment horizontal="center" vertical="center" wrapText="1"/>
    </xf>
    <xf numFmtId="0" fontId="0" fillId="7" borderId="17" xfId="0" applyFill="1" applyBorder="1" applyAlignment="1">
      <alignment horizontal="center" vertical="center" wrapText="1"/>
    </xf>
    <xf numFmtId="0" fontId="0" fillId="7" borderId="13" xfId="0" applyFill="1" applyBorder="1" applyAlignment="1">
      <alignment horizontal="center" vertical="center" wrapText="1"/>
    </xf>
    <xf numFmtId="0" fontId="16" fillId="0" borderId="16" xfId="0" applyFont="1" applyBorder="1" applyAlignment="1">
      <alignment horizontal="left"/>
    </xf>
    <xf numFmtId="0" fontId="16" fillId="0" borderId="11" xfId="0" applyFont="1" applyBorder="1" applyAlignment="1">
      <alignment horizontal="left"/>
    </xf>
    <xf numFmtId="18" fontId="10" fillId="0" borderId="22" xfId="0" applyNumberFormat="1" applyFont="1" applyBorder="1" applyAlignment="1">
      <alignment horizontal="center" vertical="center"/>
    </xf>
    <xf numFmtId="18" fontId="10" fillId="0" borderId="12" xfId="0" applyNumberFormat="1" applyFont="1" applyBorder="1" applyAlignment="1">
      <alignment horizontal="center" vertical="center"/>
    </xf>
    <xf numFmtId="16" fontId="10" fillId="0" borderId="22" xfId="0" applyNumberFormat="1" applyFont="1" applyBorder="1" applyAlignment="1">
      <alignment horizontal="center" vertical="center"/>
    </xf>
    <xf numFmtId="16" fontId="10" fillId="0" borderId="12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6" fillId="7" borderId="16" xfId="0" applyFont="1" applyFill="1" applyBorder="1" applyAlignment="1">
      <alignment horizontal="left"/>
    </xf>
    <xf numFmtId="0" fontId="10" fillId="7" borderId="11" xfId="0" applyFont="1" applyFill="1" applyBorder="1" applyAlignment="1">
      <alignment horizontal="left"/>
    </xf>
    <xf numFmtId="0" fontId="10" fillId="7" borderId="22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/>
    </xf>
    <xf numFmtId="0" fontId="10" fillId="7" borderId="21" xfId="0" applyFont="1" applyFill="1" applyBorder="1" applyAlignment="1">
      <alignment horizontal="center" vertical="center" wrapText="1"/>
    </xf>
    <xf numFmtId="0" fontId="10" fillId="7" borderId="15" xfId="0" applyFont="1" applyFill="1" applyBorder="1" applyAlignment="1">
      <alignment horizontal="center" vertical="center" wrapText="1"/>
    </xf>
    <xf numFmtId="0" fontId="10" fillId="7" borderId="20" xfId="0" applyFont="1" applyFill="1" applyBorder="1" applyAlignment="1">
      <alignment horizontal="center" vertical="center" wrapText="1"/>
    </xf>
    <xf numFmtId="0" fontId="10" fillId="7" borderId="13" xfId="0" applyFont="1" applyFill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left"/>
    </xf>
    <xf numFmtId="0" fontId="15" fillId="0" borderId="13" xfId="0" applyFont="1" applyBorder="1" applyAlignment="1">
      <alignment horizontal="left"/>
    </xf>
    <xf numFmtId="0" fontId="16" fillId="0" borderId="14" xfId="0" applyFont="1" applyBorder="1" applyAlignment="1">
      <alignment horizontal="left"/>
    </xf>
    <xf numFmtId="0" fontId="10" fillId="0" borderId="15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16" fillId="7" borderId="21" xfId="0" applyFont="1" applyFill="1" applyBorder="1" applyAlignment="1">
      <alignment horizontal="center" vertical="center" wrapText="1"/>
    </xf>
    <xf numFmtId="18" fontId="10" fillId="13" borderId="22" xfId="0" applyNumberFormat="1" applyFont="1" applyFill="1" applyBorder="1" applyAlignment="1">
      <alignment horizontal="center" vertical="center"/>
    </xf>
    <xf numFmtId="18" fontId="10" fillId="13" borderId="12" xfId="0" applyNumberFormat="1" applyFont="1" applyFill="1" applyBorder="1" applyAlignment="1">
      <alignment horizontal="center" vertical="center"/>
    </xf>
    <xf numFmtId="16" fontId="10" fillId="13" borderId="22" xfId="0" applyNumberFormat="1" applyFont="1" applyFill="1" applyBorder="1" applyAlignment="1">
      <alignment horizontal="center" vertical="center"/>
    </xf>
    <xf numFmtId="16" fontId="10" fillId="13" borderId="12" xfId="0" applyNumberFormat="1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7" fillId="6" borderId="14" xfId="0" applyFont="1" applyFill="1" applyBorder="1" applyAlignment="1">
      <alignment horizontal="left" vertical="center"/>
    </xf>
    <xf numFmtId="0" fontId="17" fillId="6" borderId="15" xfId="0" applyFont="1" applyFill="1" applyBorder="1" applyAlignment="1">
      <alignment horizontal="left" vertical="center"/>
    </xf>
    <xf numFmtId="0" fontId="1" fillId="0" borderId="1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4" fillId="6" borderId="5" xfId="0" applyFont="1" applyFill="1" applyBorder="1" applyAlignment="1">
      <alignment horizontal="center"/>
    </xf>
    <xf numFmtId="0" fontId="17" fillId="6" borderId="12" xfId="0" applyFont="1" applyFill="1" applyBorder="1" applyAlignment="1">
      <alignment horizontal="center"/>
    </xf>
    <xf numFmtId="0" fontId="16" fillId="7" borderId="11" xfId="0" applyFont="1" applyFill="1" applyBorder="1" applyAlignment="1">
      <alignment horizontal="left"/>
    </xf>
    <xf numFmtId="18" fontId="10" fillId="7" borderId="22" xfId="0" applyNumberFormat="1" applyFont="1" applyFill="1" applyBorder="1" applyAlignment="1">
      <alignment horizontal="center" vertical="center"/>
    </xf>
    <xf numFmtId="18" fontId="10" fillId="7" borderId="12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/>
    </xf>
    <xf numFmtId="0" fontId="13" fillId="3" borderId="19" xfId="0" applyFont="1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16" fillId="0" borderId="21" xfId="0" applyFont="1" applyBorder="1" applyAlignment="1">
      <alignment horizontal="center" vertical="center" wrapText="1"/>
    </xf>
    <xf numFmtId="0" fontId="0" fillId="13" borderId="15" xfId="0" applyFill="1" applyBorder="1" applyAlignment="1">
      <alignment horizontal="center" vertical="center"/>
    </xf>
    <xf numFmtId="0" fontId="0" fillId="13" borderId="13" xfId="0" applyFill="1" applyBorder="1" applyAlignment="1">
      <alignment horizontal="center" vertical="center"/>
    </xf>
    <xf numFmtId="0" fontId="17" fillId="6" borderId="10" xfId="0" applyFont="1" applyFill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0" fontId="10" fillId="7" borderId="14" xfId="0" applyFont="1" applyFill="1" applyBorder="1" applyAlignment="1">
      <alignment horizontal="center" vertical="center" wrapText="1"/>
    </xf>
    <xf numFmtId="0" fontId="10" fillId="7" borderId="17" xfId="0" applyFont="1" applyFill="1" applyBorder="1" applyAlignment="1">
      <alignment horizontal="center" vertical="center" wrapText="1"/>
    </xf>
    <xf numFmtId="0" fontId="16" fillId="0" borderId="15" xfId="0" applyFont="1" applyBorder="1" applyAlignment="1">
      <alignment horizontal="left"/>
    </xf>
    <xf numFmtId="0" fontId="10" fillId="0" borderId="14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3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16" fillId="7" borderId="15" xfId="0" applyFont="1" applyFill="1" applyBorder="1" applyAlignment="1">
      <alignment horizontal="center" vertical="center" wrapText="1"/>
    </xf>
    <xf numFmtId="0" fontId="16" fillId="7" borderId="20" xfId="0" applyFont="1" applyFill="1" applyBorder="1" applyAlignment="1">
      <alignment horizontal="center" vertical="center" wrapText="1"/>
    </xf>
    <xf numFmtId="0" fontId="16" fillId="7" borderId="13" xfId="0" applyFont="1" applyFill="1" applyBorder="1" applyAlignment="1">
      <alignment horizontal="center" vertical="center" wrapText="1"/>
    </xf>
    <xf numFmtId="0" fontId="16" fillId="7" borderId="14" xfId="0" applyFont="1" applyFill="1" applyBorder="1" applyAlignment="1">
      <alignment horizontal="left"/>
    </xf>
    <xf numFmtId="0" fontId="16" fillId="7" borderId="15" xfId="0" applyFont="1" applyFill="1" applyBorder="1" applyAlignment="1">
      <alignment horizontal="left"/>
    </xf>
    <xf numFmtId="0" fontId="0" fillId="7" borderId="22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17" fillId="6" borderId="5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13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3" fillId="7" borderId="14" xfId="0" applyFont="1" applyFill="1" applyBorder="1" applyAlignment="1">
      <alignment horizontal="center" vertical="center" wrapText="1"/>
    </xf>
    <xf numFmtId="0" fontId="3" fillId="7" borderId="15" xfId="0" applyFont="1" applyFill="1" applyBorder="1" applyAlignment="1">
      <alignment horizontal="center" vertical="center" wrapText="1"/>
    </xf>
    <xf numFmtId="0" fontId="3" fillId="7" borderId="17" xfId="0" applyFont="1" applyFill="1" applyBorder="1" applyAlignment="1">
      <alignment horizontal="center" vertical="center" wrapText="1"/>
    </xf>
    <xf numFmtId="0" fontId="3" fillId="7" borderId="13" xfId="0" applyFont="1" applyFill="1" applyBorder="1" applyAlignment="1">
      <alignment horizontal="center" vertical="center" wrapText="1"/>
    </xf>
    <xf numFmtId="0" fontId="23" fillId="0" borderId="10" xfId="0" applyFont="1" applyBorder="1" applyAlignment="1">
      <alignment horizontal="center" textRotation="255"/>
    </xf>
    <xf numFmtId="0" fontId="30" fillId="0" borderId="10" xfId="0" applyFont="1" applyBorder="1" applyAlignment="1">
      <alignment horizontal="center" textRotation="255"/>
    </xf>
    <xf numFmtId="0" fontId="16" fillId="10" borderId="14" xfId="0" applyFont="1" applyFill="1" applyBorder="1" applyAlignment="1">
      <alignment horizontal="left"/>
    </xf>
    <xf numFmtId="0" fontId="16" fillId="10" borderId="15" xfId="0" applyFont="1" applyFill="1" applyBorder="1" applyAlignment="1">
      <alignment horizontal="left"/>
    </xf>
    <xf numFmtId="0" fontId="16" fillId="10" borderId="21" xfId="0" applyFont="1" applyFill="1" applyBorder="1" applyAlignment="1">
      <alignment horizontal="center" vertical="center"/>
    </xf>
    <xf numFmtId="0" fontId="10" fillId="10" borderId="15" xfId="0" applyFont="1" applyFill="1" applyBorder="1" applyAlignment="1">
      <alignment horizontal="center" vertical="center"/>
    </xf>
    <xf numFmtId="0" fontId="10" fillId="10" borderId="20" xfId="0" applyFont="1" applyFill="1" applyBorder="1" applyAlignment="1">
      <alignment horizontal="center" vertical="center"/>
    </xf>
    <xf numFmtId="0" fontId="10" fillId="10" borderId="13" xfId="0" applyFont="1" applyFill="1" applyBorder="1" applyAlignment="1">
      <alignment horizontal="center" vertical="center"/>
    </xf>
    <xf numFmtId="0" fontId="10" fillId="10" borderId="22" xfId="0" applyFont="1" applyFill="1" applyBorder="1" applyAlignment="1">
      <alignment horizontal="center" vertical="center"/>
    </xf>
    <xf numFmtId="0" fontId="10" fillId="10" borderId="12" xfId="0" applyFont="1" applyFill="1" applyBorder="1" applyAlignment="1">
      <alignment horizontal="center" vertical="center"/>
    </xf>
    <xf numFmtId="16" fontId="10" fillId="10" borderId="22" xfId="0" applyNumberFormat="1" applyFont="1" applyFill="1" applyBorder="1" applyAlignment="1">
      <alignment horizontal="center" vertical="center"/>
    </xf>
    <xf numFmtId="16" fontId="10" fillId="10" borderId="12" xfId="0" applyNumberFormat="1" applyFont="1" applyFill="1" applyBorder="1" applyAlignment="1">
      <alignment horizontal="center" vertical="center"/>
    </xf>
    <xf numFmtId="0" fontId="14" fillId="8" borderId="18" xfId="0" applyFont="1" applyFill="1" applyBorder="1" applyAlignment="1">
      <alignment horizontal="center"/>
    </xf>
    <xf numFmtId="0" fontId="14" fillId="8" borderId="23" xfId="0" applyFont="1" applyFill="1" applyBorder="1" applyAlignment="1">
      <alignment horizontal="center"/>
    </xf>
    <xf numFmtId="0" fontId="14" fillId="8" borderId="10" xfId="0" applyFont="1" applyFill="1" applyBorder="1" applyAlignment="1">
      <alignment horizontal="center"/>
    </xf>
    <xf numFmtId="0" fontId="11" fillId="0" borderId="20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0" fillId="10" borderId="21" xfId="0" applyFont="1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10" borderId="17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0" fontId="0" fillId="10" borderId="13" xfId="0" applyFill="1" applyBorder="1" applyAlignment="1">
      <alignment horizontal="center" vertical="center"/>
    </xf>
    <xf numFmtId="0" fontId="15" fillId="10" borderId="17" xfId="0" applyFont="1" applyFill="1" applyBorder="1" applyAlignment="1">
      <alignment horizontal="left"/>
    </xf>
    <xf numFmtId="0" fontId="15" fillId="10" borderId="13" xfId="0" applyFont="1" applyFill="1" applyBorder="1" applyAlignment="1">
      <alignment horizontal="left"/>
    </xf>
    <xf numFmtId="0" fontId="10" fillId="10" borderId="14" xfId="0" applyFont="1" applyFill="1" applyBorder="1" applyAlignment="1">
      <alignment horizontal="center" vertical="center"/>
    </xf>
    <xf numFmtId="0" fontId="10" fillId="10" borderId="17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right" vertical="center"/>
    </xf>
    <xf numFmtId="0" fontId="5" fillId="0" borderId="21" xfId="0" applyFont="1" applyBorder="1" applyAlignment="1">
      <alignment horizontal="right" vertical="center"/>
    </xf>
    <xf numFmtId="0" fontId="11" fillId="0" borderId="21" xfId="0" applyFont="1" applyBorder="1" applyAlignment="1">
      <alignment horizontal="left" vertical="center"/>
    </xf>
    <xf numFmtId="0" fontId="5" fillId="0" borderId="17" xfId="0" applyFont="1" applyBorder="1" applyAlignment="1">
      <alignment horizontal="right" vertical="center"/>
    </xf>
    <xf numFmtId="0" fontId="5" fillId="0" borderId="20" xfId="0" applyFont="1" applyBorder="1" applyAlignment="1">
      <alignment horizontal="right" vertical="center"/>
    </xf>
    <xf numFmtId="0" fontId="4" fillId="8" borderId="18" xfId="0" applyFont="1" applyFill="1" applyBorder="1" applyAlignment="1">
      <alignment horizontal="center"/>
    </xf>
    <xf numFmtId="0" fontId="4" fillId="8" borderId="23" xfId="0" applyFont="1" applyFill="1" applyBorder="1" applyAlignment="1">
      <alignment horizontal="center"/>
    </xf>
    <xf numFmtId="0" fontId="10" fillId="0" borderId="14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8" fontId="10" fillId="10" borderId="22" xfId="0" applyNumberFormat="1" applyFont="1" applyFill="1" applyBorder="1" applyAlignment="1">
      <alignment horizontal="center" vertical="center"/>
    </xf>
    <xf numFmtId="0" fontId="2" fillId="8" borderId="19" xfId="0" applyFont="1" applyFill="1" applyBorder="1" applyAlignment="1">
      <alignment horizontal="center"/>
    </xf>
    <xf numFmtId="0" fontId="16" fillId="10" borderId="14" xfId="0" applyFont="1" applyFill="1" applyBorder="1" applyAlignment="1">
      <alignment horizontal="center" vertical="center" wrapText="1"/>
    </xf>
    <xf numFmtId="0" fontId="10" fillId="10" borderId="15" xfId="0" applyFont="1" applyFill="1" applyBorder="1" applyAlignment="1">
      <alignment horizontal="center" vertical="center" wrapText="1"/>
    </xf>
    <xf numFmtId="0" fontId="10" fillId="10" borderId="17" xfId="0" applyFont="1" applyFill="1" applyBorder="1" applyAlignment="1">
      <alignment horizontal="center" vertical="center" wrapText="1"/>
    </xf>
    <xf numFmtId="0" fontId="10" fillId="10" borderId="13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10" fillId="10" borderId="21" xfId="0" applyFont="1" applyFill="1" applyBorder="1" applyAlignment="1">
      <alignment horizontal="center" vertical="center" wrapText="1"/>
    </xf>
    <xf numFmtId="0" fontId="10" fillId="10" borderId="20" xfId="0" applyFont="1" applyFill="1" applyBorder="1" applyAlignment="1">
      <alignment horizontal="center" vertical="center" wrapText="1"/>
    </xf>
    <xf numFmtId="0" fontId="10" fillId="10" borderId="14" xfId="0" applyFont="1" applyFill="1" applyBorder="1" applyAlignment="1">
      <alignment horizontal="center" vertical="center" wrapText="1"/>
    </xf>
    <xf numFmtId="0" fontId="11" fillId="0" borderId="20" xfId="0" applyFont="1" applyBorder="1" applyAlignment="1">
      <alignment horizontal="left" vertical="center" wrapText="1"/>
    </xf>
    <xf numFmtId="0" fontId="22" fillId="10" borderId="14" xfId="0" applyFont="1" applyFill="1" applyBorder="1" applyAlignment="1">
      <alignment horizontal="center" vertical="center"/>
    </xf>
    <xf numFmtId="0" fontId="22" fillId="10" borderId="15" xfId="0" applyFont="1" applyFill="1" applyBorder="1" applyAlignment="1">
      <alignment horizontal="center" vertical="center"/>
    </xf>
    <xf numFmtId="0" fontId="22" fillId="10" borderId="17" xfId="0" applyFont="1" applyFill="1" applyBorder="1" applyAlignment="1">
      <alignment horizontal="center" vertical="center"/>
    </xf>
    <xf numFmtId="0" fontId="22" fillId="10" borderId="13" xfId="0" applyFont="1" applyFill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5" fillId="0" borderId="16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18" fontId="10" fillId="0" borderId="10" xfId="0" applyNumberFormat="1" applyFont="1" applyBorder="1" applyAlignment="1">
      <alignment horizontal="center" vertical="center"/>
    </xf>
    <xf numFmtId="16" fontId="10" fillId="0" borderId="10" xfId="0" applyNumberFormat="1" applyFont="1" applyBorder="1" applyAlignment="1">
      <alignment horizontal="center" vertical="center"/>
    </xf>
    <xf numFmtId="0" fontId="29" fillId="0" borderId="20" xfId="1" applyFont="1" applyBorder="1" applyAlignment="1">
      <alignment horizontal="left" vertical="center"/>
    </xf>
    <xf numFmtId="0" fontId="29" fillId="0" borderId="13" xfId="1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 wrapText="1"/>
    </xf>
    <xf numFmtId="0" fontId="4" fillId="8" borderId="5" xfId="0" applyFont="1" applyFill="1" applyBorder="1" applyAlignment="1">
      <alignment horizontal="center"/>
    </xf>
    <xf numFmtId="0" fontId="2" fillId="9" borderId="0" xfId="0" applyFont="1" applyFill="1" applyAlignment="1">
      <alignment horizontal="center"/>
    </xf>
    <xf numFmtId="0" fontId="13" fillId="9" borderId="0" xfId="0" applyFont="1" applyFill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1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5" fillId="0" borderId="20" xfId="0" applyFont="1" applyBorder="1" applyAlignment="1">
      <alignment horizontal="left" vertical="center" wrapText="1"/>
    </xf>
    <xf numFmtId="0" fontId="28" fillId="0" borderId="2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16" fillId="10" borderId="16" xfId="0" applyFont="1" applyFill="1" applyBorder="1" applyAlignment="1">
      <alignment horizontal="left"/>
    </xf>
    <xf numFmtId="0" fontId="16" fillId="10" borderId="11" xfId="0" applyFont="1" applyFill="1" applyBorder="1" applyAlignment="1">
      <alignment horizontal="left"/>
    </xf>
    <xf numFmtId="0" fontId="10" fillId="0" borderId="20" xfId="0" applyFont="1" applyBorder="1" applyAlignment="1">
      <alignment horizontal="left"/>
    </xf>
    <xf numFmtId="0" fontId="10" fillId="10" borderId="11" xfId="0" applyFont="1" applyFill="1" applyBorder="1" applyAlignment="1">
      <alignment horizontal="left"/>
    </xf>
    <xf numFmtId="0" fontId="10" fillId="0" borderId="21" xfId="0" applyFont="1" applyBorder="1" applyAlignment="1">
      <alignment horizontal="left"/>
    </xf>
    <xf numFmtId="0" fontId="15" fillId="10" borderId="14" xfId="0" applyFont="1" applyFill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/>
    </xf>
    <xf numFmtId="18" fontId="10" fillId="10" borderId="12" xfId="0" applyNumberFormat="1" applyFont="1" applyFill="1" applyBorder="1" applyAlignment="1">
      <alignment horizontal="center" vertical="center"/>
    </xf>
    <xf numFmtId="0" fontId="0" fillId="13" borderId="14" xfId="0" applyFill="1" applyBorder="1" applyAlignment="1">
      <alignment horizontal="center" vertical="center"/>
    </xf>
    <xf numFmtId="0" fontId="0" fillId="13" borderId="21" xfId="0" applyFill="1" applyBorder="1" applyAlignment="1">
      <alignment horizontal="center" vertical="center"/>
    </xf>
    <xf numFmtId="0" fontId="0" fillId="13" borderId="17" xfId="0" applyFill="1" applyBorder="1" applyAlignment="1">
      <alignment horizontal="center" vertical="center"/>
    </xf>
    <xf numFmtId="0" fontId="0" fillId="13" borderId="20" xfId="0" applyFill="1" applyBorder="1" applyAlignment="1">
      <alignment horizontal="center" vertical="center"/>
    </xf>
    <xf numFmtId="0" fontId="10" fillId="13" borderId="22" xfId="0" applyFont="1" applyFill="1" applyBorder="1" applyAlignment="1">
      <alignment horizontal="center" vertical="center"/>
    </xf>
    <xf numFmtId="0" fontId="10" fillId="13" borderId="12" xfId="0" applyFont="1" applyFill="1" applyBorder="1" applyAlignment="1">
      <alignment horizontal="center" vertical="center"/>
    </xf>
    <xf numFmtId="0" fontId="15" fillId="13" borderId="21" xfId="0" applyFont="1" applyFill="1" applyBorder="1" applyAlignment="1">
      <alignment horizontal="center" vertical="center" wrapText="1"/>
    </xf>
    <xf numFmtId="0" fontId="10" fillId="13" borderId="15" xfId="0" applyFont="1" applyFill="1" applyBorder="1" applyAlignment="1">
      <alignment horizontal="center" vertical="center" wrapText="1"/>
    </xf>
    <xf numFmtId="0" fontId="10" fillId="13" borderId="17" xfId="0" applyFont="1" applyFill="1" applyBorder="1" applyAlignment="1">
      <alignment horizontal="center" vertical="center" wrapText="1"/>
    </xf>
    <xf numFmtId="0" fontId="10" fillId="13" borderId="13" xfId="0" applyFont="1" applyFill="1" applyBorder="1" applyAlignment="1">
      <alignment horizontal="center" vertical="center" wrapText="1"/>
    </xf>
    <xf numFmtId="0" fontId="15" fillId="13" borderId="14" xfId="0" applyFont="1" applyFill="1" applyBorder="1" applyAlignment="1">
      <alignment horizontal="center"/>
    </xf>
    <xf numFmtId="0" fontId="15" fillId="13" borderId="15" xfId="0" applyFont="1" applyFill="1" applyBorder="1" applyAlignment="1">
      <alignment horizontal="center"/>
    </xf>
    <xf numFmtId="0" fontId="15" fillId="13" borderId="17" xfId="0" applyFont="1" applyFill="1" applyBorder="1" applyAlignment="1">
      <alignment horizontal="center"/>
    </xf>
    <xf numFmtId="0" fontId="15" fillId="13" borderId="13" xfId="0" applyFont="1" applyFill="1" applyBorder="1" applyAlignment="1">
      <alignment horizontal="center"/>
    </xf>
    <xf numFmtId="0" fontId="15" fillId="10" borderId="16" xfId="0" applyFont="1" applyFill="1" applyBorder="1" applyAlignment="1">
      <alignment horizontal="left"/>
    </xf>
    <xf numFmtId="0" fontId="15" fillId="10" borderId="11" xfId="0" applyFont="1" applyFill="1" applyBorder="1" applyAlignment="1">
      <alignment horizontal="left"/>
    </xf>
    <xf numFmtId="0" fontId="17" fillId="11" borderId="18" xfId="0" applyFont="1" applyFill="1" applyBorder="1" applyAlignment="1">
      <alignment horizontal="center"/>
    </xf>
    <xf numFmtId="0" fontId="17" fillId="11" borderId="19" xfId="0" applyFont="1" applyFill="1" applyBorder="1" applyAlignment="1">
      <alignment horizontal="center"/>
    </xf>
    <xf numFmtId="0" fontId="17" fillId="11" borderId="23" xfId="0" applyFont="1" applyFill="1" applyBorder="1" applyAlignment="1">
      <alignment horizontal="center"/>
    </xf>
    <xf numFmtId="0" fontId="10" fillId="12" borderId="18" xfId="0" applyFont="1" applyFill="1" applyBorder="1" applyAlignment="1">
      <alignment horizontal="left"/>
    </xf>
    <xf numFmtId="0" fontId="10" fillId="12" borderId="19" xfId="0" applyFont="1" applyFill="1" applyBorder="1" applyAlignment="1">
      <alignment horizontal="left"/>
    </xf>
    <xf numFmtId="0" fontId="10" fillId="12" borderId="23" xfId="0" applyFont="1" applyFill="1" applyBorder="1" applyAlignment="1">
      <alignment horizontal="left"/>
    </xf>
    <xf numFmtId="0" fontId="16" fillId="12" borderId="18" xfId="0" applyFont="1" applyFill="1" applyBorder="1" applyAlignment="1">
      <alignment horizontal="center"/>
    </xf>
    <xf numFmtId="0" fontId="10" fillId="12" borderId="23" xfId="0" applyFont="1" applyFill="1" applyBorder="1" applyAlignment="1">
      <alignment horizontal="center"/>
    </xf>
    <xf numFmtId="49" fontId="10" fillId="12" borderId="18" xfId="0" applyNumberFormat="1" applyFont="1" applyFill="1" applyBorder="1" applyAlignment="1">
      <alignment horizontal="left"/>
    </xf>
    <xf numFmtId="49" fontId="10" fillId="12" borderId="19" xfId="0" applyNumberFormat="1" applyFont="1" applyFill="1" applyBorder="1" applyAlignment="1">
      <alignment horizontal="left"/>
    </xf>
    <xf numFmtId="49" fontId="10" fillId="12" borderId="23" xfId="0" applyNumberFormat="1" applyFont="1" applyFill="1" applyBorder="1" applyAlignment="1">
      <alignment horizontal="left"/>
    </xf>
    <xf numFmtId="49" fontId="10" fillId="12" borderId="5" xfId="0" applyNumberFormat="1" applyFont="1" applyFill="1" applyBorder="1" applyAlignment="1">
      <alignment horizontal="center"/>
    </xf>
    <xf numFmtId="0" fontId="10" fillId="0" borderId="18" xfId="0" applyFont="1" applyBorder="1" applyAlignment="1">
      <alignment horizontal="center" wrapText="1"/>
    </xf>
    <xf numFmtId="0" fontId="10" fillId="0" borderId="19" xfId="0" applyFont="1" applyBorder="1" applyAlignment="1">
      <alignment horizontal="center" wrapText="1"/>
    </xf>
    <xf numFmtId="0" fontId="10" fillId="0" borderId="23" xfId="0" applyFont="1" applyBorder="1" applyAlignment="1">
      <alignment horizontal="center" wrapText="1"/>
    </xf>
    <xf numFmtId="0" fontId="7" fillId="11" borderId="0" xfId="0" applyFont="1" applyFill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21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18" xfId="0" applyFont="1" applyBorder="1" applyAlignment="1">
      <alignment horizontal="left"/>
    </xf>
    <xf numFmtId="0" fontId="16" fillId="0" borderId="19" xfId="0" applyFont="1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3" xfId="0" applyBorder="1" applyAlignment="1">
      <alignment horizontal="left"/>
    </xf>
    <xf numFmtId="0" fontId="16" fillId="12" borderId="23" xfId="0" applyFont="1" applyFill="1" applyBorder="1" applyAlignment="1">
      <alignment horizontal="center"/>
    </xf>
    <xf numFmtId="49" fontId="10" fillId="12" borderId="18" xfId="0" applyNumberFormat="1" applyFont="1" applyFill="1" applyBorder="1" applyAlignment="1">
      <alignment horizontal="center"/>
    </xf>
    <xf numFmtId="49" fontId="10" fillId="12" borderId="23" xfId="0" applyNumberFormat="1" applyFont="1" applyFill="1" applyBorder="1" applyAlignment="1">
      <alignment horizontal="center"/>
    </xf>
    <xf numFmtId="0" fontId="16" fillId="12" borderId="5" xfId="0" applyFont="1" applyFill="1" applyBorder="1" applyAlignment="1">
      <alignment horizontal="center"/>
    </xf>
    <xf numFmtId="0" fontId="17" fillId="11" borderId="17" xfId="0" applyFont="1" applyFill="1" applyBorder="1" applyAlignment="1">
      <alignment horizontal="center"/>
    </xf>
    <xf numFmtId="0" fontId="17" fillId="11" borderId="20" xfId="0" applyFont="1" applyFill="1" applyBorder="1" applyAlignment="1">
      <alignment horizontal="center"/>
    </xf>
    <xf numFmtId="0" fontId="17" fillId="11" borderId="13" xfId="0" applyFont="1" applyFill="1" applyBorder="1" applyAlignment="1">
      <alignment horizontal="center"/>
    </xf>
    <xf numFmtId="0" fontId="10" fillId="0" borderId="14" xfId="0" applyFont="1" applyBorder="1" applyAlignment="1">
      <alignment horizontal="center" wrapText="1"/>
    </xf>
    <xf numFmtId="0" fontId="10" fillId="0" borderId="21" xfId="0" applyFont="1" applyBorder="1" applyAlignment="1">
      <alignment horizontal="center" wrapText="1"/>
    </xf>
    <xf numFmtId="0" fontId="10" fillId="0" borderId="15" xfId="0" applyFont="1" applyBorder="1" applyAlignment="1">
      <alignment horizontal="center" wrapText="1"/>
    </xf>
  </cellXfs>
  <cellStyles count="2">
    <cellStyle name="Hipervínculo" xfId="1" builtinId="8"/>
    <cellStyle name="Normal" xfId="0" builtinId="0"/>
  </cellStyles>
  <dxfs count="68">
    <dxf>
      <font>
        <color theme="1"/>
      </font>
      <fill>
        <patternFill>
          <fgColor auto="1"/>
          <bgColor theme="8" tint="0.7999816888943144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7" tint="0.3999450666829432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1"/>
      </font>
      <fill>
        <patternFill>
          <fgColor auto="1"/>
          <bgColor theme="8" tint="0.79998168889431442"/>
        </patternFill>
      </fill>
    </dxf>
    <dxf>
      <font>
        <color theme="1"/>
      </font>
      <fill>
        <patternFill>
          <fgColor auto="1"/>
          <bgColor theme="8" tint="0.7999816888943144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7" tint="0.3999450666829432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1"/>
      </font>
      <fill>
        <patternFill>
          <fgColor auto="1"/>
          <bgColor theme="8" tint="0.7999816888943144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7" tint="0.3999450666829432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1"/>
      </font>
      <fill>
        <patternFill>
          <fgColor auto="1"/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7" tint="0.3999450666829432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1"/>
      </font>
      <fill>
        <patternFill>
          <fgColor auto="1"/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7" tint="0.3999450666829432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1"/>
      </font>
      <fill>
        <patternFill>
          <fgColor auto="1"/>
          <bgColor theme="8" tint="0.79998168889431442"/>
        </patternFill>
      </fill>
    </dxf>
    <dxf>
      <font>
        <color theme="1"/>
      </font>
      <fill>
        <patternFill>
          <fgColor auto="1"/>
          <bgColor theme="8" tint="0.7999816888943144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1"/>
      </font>
      <fill>
        <patternFill>
          <fgColor auto="1"/>
          <bgColor theme="8" tint="0.79998168889431442"/>
        </patternFill>
      </fill>
    </dxf>
    <dxf>
      <font>
        <color theme="0"/>
      </font>
      <fill>
        <patternFill>
          <bgColor theme="7" tint="0.3999450666829432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1"/>
      </font>
      <fill>
        <patternFill>
          <fgColor auto="1"/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7" tint="0.3999450666829432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1"/>
      </font>
      <fill>
        <patternFill>
          <fgColor auto="1"/>
          <bgColor theme="8" tint="0.7999816888943144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fgColor auto="1"/>
          <bgColor theme="8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1" formatCode="dd\-mmm"/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top style="thin">
          <color rgb="FF000000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family val="2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microsoft.com/office/2011/relationships/webextension" Target="../webextensions/webextens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2</xdr:row>
      <xdr:rowOff>0</xdr:rowOff>
    </xdr:from>
    <xdr:to>
      <xdr:col>7</xdr:col>
      <xdr:colOff>83820</xdr:colOff>
      <xdr:row>13</xdr:row>
      <xdr:rowOff>68580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5" name="Complemento 4">
              <a:extLst>
                <a:ext uri="{FF2B5EF4-FFF2-40B4-BE49-F238E27FC236}">
                  <a16:creationId xmlns:a16="http://schemas.microsoft.com/office/drawing/2014/main" id="{FB422887-C046-56B6-4A79-82992C87D4B3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5" name="Complemento 4">
              <a:extLst>
                <a:ext uri="{FF2B5EF4-FFF2-40B4-BE49-F238E27FC236}">
                  <a16:creationId xmlns:a16="http://schemas.microsoft.com/office/drawing/2014/main" id="{FB422887-C046-56B6-4A79-82992C87D4B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9920A1-FAA1-42CD-AF57-747F1E8395F4}" name="Tabla6423" displayName="Tabla6423" ref="A3:D197" totalsRowShown="0" headerRowDxfId="67" dataDxfId="66" tableBorderDxfId="65" totalsRowBorderDxfId="64">
  <tableColumns count="4">
    <tableColumn id="1" xr3:uid="{FC3F5D8B-9626-46A5-8D92-B263902652E1}" name="Num." totalsRowLabel="Total" dataDxfId="63"/>
    <tableColumn id="2" xr3:uid="{29239DD1-6424-437B-9C24-ECF1AF789DD7}" name="Titulo" dataDxfId="62"/>
    <tableColumn id="3" xr3:uid="{B0A85D24-6B2F-4E6E-86A0-38E05F99FEFE}" name="2026" dataDxfId="61"/>
    <tableColumn id="6" xr3:uid="{E058EEDB-4F04-472C-8FCE-3C6F6622037D}" name="2027" dataDxfId="6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webextension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ebextensions/webextension1.xml><?xml version="1.0" encoding="utf-8"?>
<we:webextension xmlns:we="http://schemas.microsoft.com/office/webextensions/webextension/2010/11" id="{FB422887-C046-56B6-4A79-82992C87D4B3}">
  <we:reference id="wa102957665" version="1.3.0.0" store="es-ES" storeType="OMEX"/>
  <we:alternateReferences>
    <we:reference id="WA102957665" version="1.3.0.0" store="" storeType="OMEX"/>
  </we:alternateReferences>
  <we:properties>
    <we:property name="opt_month" value="&quot;2026-03-01&quot;"/>
    <we:property name="opt_cal_sys" value="21"/>
    <we:property name="opt_wn" value="false"/>
    <we:property name="opt_theme" value="1"/>
    <we:property name="opt_size" value="0"/>
    <we:property name="opt_confirm" value="true"/>
  </we:properties>
  <we:bindings/>
  <we:snapshot xmlns:r="http://schemas.openxmlformats.org/officeDocument/2006/relationships" r:embed="rId1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4D127-C895-4520-B638-4D0938AC466C}">
  <dimension ref="A1:D197"/>
  <sheetViews>
    <sheetView zoomScaleNormal="100" workbookViewId="0">
      <selection activeCell="I15" sqref="I15"/>
    </sheetView>
  </sheetViews>
  <sheetFormatPr baseColWidth="10" defaultColWidth="10.88671875" defaultRowHeight="14.4" x14ac:dyDescent="0.3"/>
  <cols>
    <col min="1" max="1" width="4.5546875" customWidth="1"/>
    <col min="2" max="2" width="78" customWidth="1"/>
    <col min="3" max="3" width="16.33203125" customWidth="1"/>
    <col min="4" max="4" width="16.21875" style="67" customWidth="1"/>
  </cols>
  <sheetData>
    <row r="1" spans="1:4" ht="23.4" customHeight="1" x14ac:dyDescent="0.3">
      <c r="A1" s="118" t="s">
        <v>0</v>
      </c>
      <c r="B1" s="119"/>
      <c r="C1" s="119"/>
      <c r="D1" s="119"/>
    </row>
    <row r="2" spans="1:4" ht="21" x14ac:dyDescent="0.3">
      <c r="A2" s="1"/>
      <c r="B2" s="2" t="s">
        <v>1</v>
      </c>
      <c r="C2" s="117" t="s">
        <v>2</v>
      </c>
      <c r="D2" s="117"/>
    </row>
    <row r="3" spans="1:4" s="5" customFormat="1" ht="15.6" x14ac:dyDescent="0.3">
      <c r="A3" s="3" t="s">
        <v>92</v>
      </c>
      <c r="B3" s="3" t="s">
        <v>93</v>
      </c>
      <c r="C3" s="4" t="s">
        <v>498</v>
      </c>
      <c r="D3" s="4" t="s">
        <v>499</v>
      </c>
    </row>
    <row r="4" spans="1:4" ht="15.6" x14ac:dyDescent="0.3">
      <c r="A4" s="75">
        <v>1</v>
      </c>
      <c r="B4" s="76" t="s">
        <v>130</v>
      </c>
      <c r="C4" s="77"/>
      <c r="D4" s="78"/>
    </row>
    <row r="5" spans="1:4" ht="15.6" x14ac:dyDescent="0.3">
      <c r="A5" s="79">
        <v>2</v>
      </c>
      <c r="B5" s="80" t="s">
        <v>133</v>
      </c>
      <c r="C5" s="81"/>
      <c r="D5" s="82"/>
    </row>
    <row r="6" spans="1:4" ht="15.6" x14ac:dyDescent="0.3">
      <c r="A6" s="79">
        <v>3</v>
      </c>
      <c r="B6" s="80" t="s">
        <v>136</v>
      </c>
      <c r="C6" s="81"/>
      <c r="D6" s="82"/>
    </row>
    <row r="7" spans="1:4" ht="15.6" x14ac:dyDescent="0.3">
      <c r="A7" s="79">
        <v>4</v>
      </c>
      <c r="B7" s="80" t="s">
        <v>138</v>
      </c>
      <c r="C7" s="81"/>
      <c r="D7" s="82"/>
    </row>
    <row r="8" spans="1:4" ht="15.6" x14ac:dyDescent="0.3">
      <c r="A8" s="79">
        <v>5</v>
      </c>
      <c r="B8" s="80" t="s">
        <v>141</v>
      </c>
      <c r="C8" s="81"/>
      <c r="D8" s="82"/>
    </row>
    <row r="9" spans="1:4" ht="15.6" x14ac:dyDescent="0.3">
      <c r="A9" s="79">
        <v>6</v>
      </c>
      <c r="B9" s="80" t="s">
        <v>404</v>
      </c>
      <c r="C9" s="81"/>
      <c r="D9" s="82"/>
    </row>
    <row r="10" spans="1:4" ht="15.6" x14ac:dyDescent="0.3">
      <c r="A10" s="79">
        <v>7</v>
      </c>
      <c r="B10" s="80" t="s">
        <v>500</v>
      </c>
      <c r="C10" s="81"/>
      <c r="D10" s="82"/>
    </row>
    <row r="11" spans="1:4" ht="15.6" x14ac:dyDescent="0.3">
      <c r="A11" s="79">
        <v>8</v>
      </c>
      <c r="B11" s="80" t="s">
        <v>147</v>
      </c>
      <c r="C11" s="81"/>
      <c r="D11" s="82"/>
    </row>
    <row r="12" spans="1:4" ht="15.6" x14ac:dyDescent="0.3">
      <c r="A12" s="79">
        <v>9</v>
      </c>
      <c r="B12" s="80" t="s">
        <v>148</v>
      </c>
      <c r="C12" s="81"/>
      <c r="D12" s="82"/>
    </row>
    <row r="13" spans="1:4" ht="15.6" x14ac:dyDescent="0.3">
      <c r="A13" s="79">
        <v>10</v>
      </c>
      <c r="B13" s="80" t="s">
        <v>149</v>
      </c>
      <c r="C13" s="81"/>
      <c r="D13" s="82"/>
    </row>
    <row r="14" spans="1:4" ht="15.6" x14ac:dyDescent="0.3">
      <c r="A14" s="79">
        <v>11</v>
      </c>
      <c r="B14" s="80" t="s">
        <v>150</v>
      </c>
      <c r="C14" s="81"/>
      <c r="D14" s="82"/>
    </row>
    <row r="15" spans="1:4" ht="15.6" x14ac:dyDescent="0.3">
      <c r="A15" s="79">
        <v>12</v>
      </c>
      <c r="B15" s="80" t="s">
        <v>405</v>
      </c>
      <c r="C15" s="81"/>
      <c r="D15" s="82"/>
    </row>
    <row r="16" spans="1:4" ht="15.6" x14ac:dyDescent="0.3">
      <c r="A16" s="79">
        <v>13</v>
      </c>
      <c r="B16" s="80" t="s">
        <v>153</v>
      </c>
      <c r="C16" s="81"/>
      <c r="D16" s="82"/>
    </row>
    <row r="17" spans="1:4" ht="15.6" x14ac:dyDescent="0.3">
      <c r="A17" s="79">
        <v>14</v>
      </c>
      <c r="B17" s="80" t="s">
        <v>154</v>
      </c>
      <c r="C17" s="81"/>
      <c r="D17" s="82"/>
    </row>
    <row r="18" spans="1:4" ht="15.6" x14ac:dyDescent="0.3">
      <c r="A18" s="79">
        <v>15</v>
      </c>
      <c r="B18" s="80" t="s">
        <v>156</v>
      </c>
      <c r="C18" s="81"/>
      <c r="D18" s="82"/>
    </row>
    <row r="19" spans="1:4" ht="15.6" x14ac:dyDescent="0.3">
      <c r="A19" s="79">
        <v>16</v>
      </c>
      <c r="B19" s="80" t="s">
        <v>403</v>
      </c>
      <c r="C19" s="81"/>
      <c r="D19" s="82"/>
    </row>
    <row r="20" spans="1:4" ht="15.6" x14ac:dyDescent="0.3">
      <c r="A20" s="79">
        <v>17</v>
      </c>
      <c r="B20" s="80" t="s">
        <v>158</v>
      </c>
      <c r="C20" s="81"/>
      <c r="D20" s="82"/>
    </row>
    <row r="21" spans="1:4" ht="15.6" x14ac:dyDescent="0.3">
      <c r="A21" s="79">
        <v>18</v>
      </c>
      <c r="B21" s="80" t="s">
        <v>501</v>
      </c>
      <c r="C21" s="81"/>
      <c r="D21" s="82"/>
    </row>
    <row r="22" spans="1:4" ht="15.6" x14ac:dyDescent="0.3">
      <c r="A22" s="79">
        <v>19</v>
      </c>
      <c r="B22" s="80" t="s">
        <v>161</v>
      </c>
      <c r="C22" s="81"/>
      <c r="D22" s="82"/>
    </row>
    <row r="23" spans="1:4" ht="15.6" x14ac:dyDescent="0.3">
      <c r="A23" s="79">
        <v>20</v>
      </c>
      <c r="B23" s="80" t="s">
        <v>163</v>
      </c>
      <c r="C23" s="81"/>
      <c r="D23" s="82"/>
    </row>
    <row r="24" spans="1:4" ht="15.6" x14ac:dyDescent="0.3">
      <c r="A24" s="79">
        <v>21</v>
      </c>
      <c r="B24" s="80" t="s">
        <v>402</v>
      </c>
      <c r="C24" s="81"/>
      <c r="D24" s="82"/>
    </row>
    <row r="25" spans="1:4" ht="15.6" x14ac:dyDescent="0.3">
      <c r="A25" s="79">
        <v>22</v>
      </c>
      <c r="B25" s="80" t="s">
        <v>165</v>
      </c>
      <c r="C25" s="81"/>
      <c r="D25" s="82"/>
    </row>
    <row r="26" spans="1:4" ht="15.6" x14ac:dyDescent="0.3">
      <c r="A26" s="79">
        <v>23</v>
      </c>
      <c r="B26" s="80" t="s">
        <v>166</v>
      </c>
      <c r="C26" s="81"/>
      <c r="D26" s="82"/>
    </row>
    <row r="27" spans="1:4" ht="15.6" x14ac:dyDescent="0.3">
      <c r="A27" s="79">
        <v>24</v>
      </c>
      <c r="B27" s="80" t="s">
        <v>167</v>
      </c>
      <c r="C27" s="81"/>
      <c r="D27" s="82"/>
    </row>
    <row r="28" spans="1:4" ht="15.6" x14ac:dyDescent="0.3">
      <c r="A28" s="79">
        <v>25</v>
      </c>
      <c r="B28" s="80" t="s">
        <v>168</v>
      </c>
      <c r="C28" s="81"/>
      <c r="D28" s="82"/>
    </row>
    <row r="29" spans="1:4" ht="15.6" x14ac:dyDescent="0.3">
      <c r="A29" s="79">
        <v>26</v>
      </c>
      <c r="B29" s="80" t="s">
        <v>502</v>
      </c>
      <c r="C29" s="81"/>
      <c r="D29" s="82"/>
    </row>
    <row r="30" spans="1:4" ht="15.6" x14ac:dyDescent="0.3">
      <c r="A30" s="79">
        <v>27</v>
      </c>
      <c r="B30" s="80" t="s">
        <v>503</v>
      </c>
      <c r="C30" s="81"/>
      <c r="D30" s="82"/>
    </row>
    <row r="31" spans="1:4" ht="15.6" x14ac:dyDescent="0.3">
      <c r="A31" s="79">
        <v>28</v>
      </c>
      <c r="B31" s="80" t="s">
        <v>547</v>
      </c>
      <c r="C31" s="81"/>
      <c r="D31" s="82"/>
    </row>
    <row r="32" spans="1:4" ht="15.6" x14ac:dyDescent="0.3">
      <c r="A32" s="79">
        <v>29</v>
      </c>
      <c r="B32" s="83" t="s">
        <v>172</v>
      </c>
      <c r="C32" s="81"/>
      <c r="D32" s="82"/>
    </row>
    <row r="33" spans="1:4" ht="15.6" x14ac:dyDescent="0.3">
      <c r="A33" s="79">
        <v>30</v>
      </c>
      <c r="B33" s="80" t="s">
        <v>173</v>
      </c>
      <c r="C33" s="81"/>
      <c r="D33" s="82"/>
    </row>
    <row r="34" spans="1:4" ht="15.6" x14ac:dyDescent="0.3">
      <c r="A34" s="79">
        <v>31</v>
      </c>
      <c r="B34" s="80" t="s">
        <v>174</v>
      </c>
      <c r="C34" s="81"/>
      <c r="D34" s="82"/>
    </row>
    <row r="35" spans="1:4" ht="15.6" x14ac:dyDescent="0.3">
      <c r="A35" s="79">
        <v>32</v>
      </c>
      <c r="B35" s="80" t="s">
        <v>176</v>
      </c>
      <c r="C35" s="81">
        <v>46026</v>
      </c>
      <c r="D35" s="82"/>
    </row>
    <row r="36" spans="1:4" ht="15.6" x14ac:dyDescent="0.3">
      <c r="A36" s="79">
        <v>33</v>
      </c>
      <c r="B36" s="80" t="s">
        <v>178</v>
      </c>
      <c r="C36" s="81"/>
      <c r="D36" s="82"/>
    </row>
    <row r="37" spans="1:4" ht="15.6" x14ac:dyDescent="0.3">
      <c r="A37" s="79">
        <v>34</v>
      </c>
      <c r="B37" s="80" t="s">
        <v>497</v>
      </c>
      <c r="C37" s="81">
        <v>46082</v>
      </c>
      <c r="D37" s="82"/>
    </row>
    <row r="38" spans="1:4" ht="15.6" x14ac:dyDescent="0.3">
      <c r="A38" s="79">
        <v>35</v>
      </c>
      <c r="B38" s="83" t="s">
        <v>181</v>
      </c>
      <c r="C38" s="81"/>
      <c r="D38" s="82"/>
    </row>
    <row r="39" spans="1:4" ht="15.6" x14ac:dyDescent="0.3">
      <c r="A39" s="79">
        <v>36</v>
      </c>
      <c r="B39" s="80" t="s">
        <v>401</v>
      </c>
      <c r="C39" s="81"/>
      <c r="D39" s="82"/>
    </row>
    <row r="40" spans="1:4" ht="15.6" x14ac:dyDescent="0.3">
      <c r="A40" s="79">
        <v>37</v>
      </c>
      <c r="B40" s="80" t="s">
        <v>185</v>
      </c>
      <c r="C40" s="81"/>
      <c r="D40" s="82"/>
    </row>
    <row r="41" spans="1:4" ht="15.6" x14ac:dyDescent="0.3">
      <c r="A41" s="79">
        <v>38</v>
      </c>
      <c r="B41" s="80" t="s">
        <v>186</v>
      </c>
      <c r="C41" s="81"/>
      <c r="D41" s="82"/>
    </row>
    <row r="42" spans="1:4" ht="15.6" x14ac:dyDescent="0.3">
      <c r="A42" s="79">
        <v>39</v>
      </c>
      <c r="B42" s="80" t="s">
        <v>504</v>
      </c>
      <c r="C42" s="81"/>
      <c r="D42" s="82"/>
    </row>
    <row r="43" spans="1:4" ht="15.6" x14ac:dyDescent="0.3">
      <c r="A43" s="79">
        <v>40</v>
      </c>
      <c r="B43" s="80" t="s">
        <v>505</v>
      </c>
      <c r="C43" s="81"/>
      <c r="D43" s="82"/>
    </row>
    <row r="44" spans="1:4" ht="15.6" x14ac:dyDescent="0.3">
      <c r="A44" s="79">
        <v>41</v>
      </c>
      <c r="B44" s="80" t="s">
        <v>415</v>
      </c>
      <c r="C44" s="81"/>
      <c r="D44" s="82"/>
    </row>
    <row r="45" spans="1:4" ht="15.6" x14ac:dyDescent="0.3">
      <c r="A45" s="79">
        <v>42</v>
      </c>
      <c r="B45" s="80" t="s">
        <v>506</v>
      </c>
      <c r="C45" s="81"/>
      <c r="D45" s="82"/>
    </row>
    <row r="46" spans="1:4" ht="15.6" x14ac:dyDescent="0.3">
      <c r="A46" s="79">
        <v>43</v>
      </c>
      <c r="B46" s="80" t="s">
        <v>94</v>
      </c>
      <c r="C46" s="81"/>
      <c r="D46" s="82"/>
    </row>
    <row r="47" spans="1:4" ht="15.6" x14ac:dyDescent="0.3">
      <c r="A47" s="79">
        <v>44</v>
      </c>
      <c r="B47" s="80" t="s">
        <v>95</v>
      </c>
      <c r="C47" s="81"/>
      <c r="D47" s="82"/>
    </row>
    <row r="48" spans="1:4" ht="15.6" x14ac:dyDescent="0.3">
      <c r="A48" s="79">
        <v>45</v>
      </c>
      <c r="B48" s="80" t="s">
        <v>191</v>
      </c>
      <c r="C48" s="81"/>
      <c r="D48" s="82"/>
    </row>
    <row r="49" spans="1:4" ht="15.6" x14ac:dyDescent="0.3">
      <c r="A49" s="79">
        <v>46</v>
      </c>
      <c r="B49" s="80" t="s">
        <v>96</v>
      </c>
      <c r="C49" s="81"/>
      <c r="D49" s="82"/>
    </row>
    <row r="50" spans="1:4" ht="15.6" x14ac:dyDescent="0.3">
      <c r="A50" s="79">
        <v>47</v>
      </c>
      <c r="B50" s="80" t="s">
        <v>507</v>
      </c>
      <c r="C50" s="81"/>
      <c r="D50" s="82"/>
    </row>
    <row r="51" spans="1:4" ht="15.6" x14ac:dyDescent="0.3">
      <c r="A51" s="79">
        <v>48</v>
      </c>
      <c r="B51" s="80" t="s">
        <v>97</v>
      </c>
      <c r="C51" s="81"/>
      <c r="D51" s="82"/>
    </row>
    <row r="52" spans="1:4" ht="15.6" x14ac:dyDescent="0.3">
      <c r="A52" s="79">
        <v>49</v>
      </c>
      <c r="B52" s="80" t="s">
        <v>98</v>
      </c>
      <c r="C52" s="81"/>
      <c r="D52" s="82"/>
    </row>
    <row r="53" spans="1:4" ht="15.6" x14ac:dyDescent="0.3">
      <c r="A53" s="79">
        <v>50</v>
      </c>
      <c r="B53" s="80" t="s">
        <v>99</v>
      </c>
      <c r="C53" s="81"/>
      <c r="D53" s="82"/>
    </row>
    <row r="54" spans="1:4" ht="15.6" x14ac:dyDescent="0.3">
      <c r="A54" s="79">
        <v>51</v>
      </c>
      <c r="B54" s="80" t="s">
        <v>100</v>
      </c>
      <c r="C54" s="81"/>
      <c r="D54" s="82"/>
    </row>
    <row r="55" spans="1:4" ht="15.6" x14ac:dyDescent="0.3">
      <c r="A55" s="79">
        <v>52</v>
      </c>
      <c r="B55" s="80" t="s">
        <v>5</v>
      </c>
      <c r="C55" s="81"/>
      <c r="D55" s="82"/>
    </row>
    <row r="56" spans="1:4" ht="15.6" x14ac:dyDescent="0.3">
      <c r="A56" s="79">
        <v>53</v>
      </c>
      <c r="B56" s="80" t="s">
        <v>101</v>
      </c>
      <c r="C56" s="81"/>
      <c r="D56" s="82"/>
    </row>
    <row r="57" spans="1:4" ht="15.6" x14ac:dyDescent="0.3">
      <c r="A57" s="79">
        <v>54</v>
      </c>
      <c r="B57" s="80" t="s">
        <v>102</v>
      </c>
      <c r="C57" s="81"/>
      <c r="D57" s="82"/>
    </row>
    <row r="58" spans="1:4" ht="15.6" x14ac:dyDescent="0.3">
      <c r="A58" s="79">
        <v>55</v>
      </c>
      <c r="B58" s="80" t="s">
        <v>103</v>
      </c>
      <c r="C58" s="81"/>
      <c r="D58" s="82"/>
    </row>
    <row r="59" spans="1:4" ht="15.6" x14ac:dyDescent="0.3">
      <c r="A59" s="79">
        <v>56</v>
      </c>
      <c r="B59" s="80" t="s">
        <v>508</v>
      </c>
      <c r="C59" s="81"/>
      <c r="D59" s="82"/>
    </row>
    <row r="60" spans="1:4" ht="15.6" x14ac:dyDescent="0.3">
      <c r="A60" s="79">
        <v>57</v>
      </c>
      <c r="B60" s="80" t="s">
        <v>7</v>
      </c>
      <c r="C60" s="81"/>
      <c r="D60" s="82"/>
    </row>
    <row r="61" spans="1:4" ht="15.6" x14ac:dyDescent="0.3">
      <c r="A61" s="79">
        <v>58</v>
      </c>
      <c r="B61" s="80" t="s">
        <v>201</v>
      </c>
      <c r="C61" s="81"/>
      <c r="D61" s="82"/>
    </row>
    <row r="62" spans="1:4" ht="15.6" x14ac:dyDescent="0.3">
      <c r="A62" s="79">
        <v>59</v>
      </c>
      <c r="B62" s="80" t="s">
        <v>8</v>
      </c>
      <c r="C62" s="81"/>
      <c r="D62" s="82"/>
    </row>
    <row r="63" spans="1:4" ht="15.6" x14ac:dyDescent="0.3">
      <c r="A63" s="79">
        <v>60</v>
      </c>
      <c r="B63" s="80" t="s">
        <v>509</v>
      </c>
      <c r="C63" s="81"/>
      <c r="D63" s="82"/>
    </row>
    <row r="64" spans="1:4" ht="15.6" x14ac:dyDescent="0.3">
      <c r="A64" s="79">
        <v>61</v>
      </c>
      <c r="B64" s="80" t="s">
        <v>9</v>
      </c>
      <c r="C64" s="81"/>
      <c r="D64" s="82"/>
    </row>
    <row r="65" spans="1:4" ht="15.6" x14ac:dyDescent="0.3">
      <c r="A65" s="79">
        <v>62</v>
      </c>
      <c r="B65" s="80" t="s">
        <v>510</v>
      </c>
      <c r="C65" s="81"/>
      <c r="D65" s="82"/>
    </row>
    <row r="66" spans="1:4" ht="15.6" x14ac:dyDescent="0.3">
      <c r="A66" s="79">
        <v>63</v>
      </c>
      <c r="B66" s="80" t="s">
        <v>511</v>
      </c>
      <c r="C66" s="81"/>
      <c r="D66" s="82"/>
    </row>
    <row r="67" spans="1:4" ht="15.6" x14ac:dyDescent="0.3">
      <c r="A67" s="79">
        <v>64</v>
      </c>
      <c r="B67" s="80" t="s">
        <v>104</v>
      </c>
      <c r="C67" s="81"/>
      <c r="D67" s="82"/>
    </row>
    <row r="68" spans="1:4" ht="15.6" x14ac:dyDescent="0.3">
      <c r="A68" s="79">
        <v>65</v>
      </c>
      <c r="B68" s="80" t="s">
        <v>209</v>
      </c>
      <c r="C68" s="81"/>
      <c r="D68" s="82"/>
    </row>
    <row r="69" spans="1:4" ht="15.6" x14ac:dyDescent="0.3">
      <c r="A69" s="79">
        <v>66</v>
      </c>
      <c r="B69" s="80" t="s">
        <v>105</v>
      </c>
      <c r="C69" s="81">
        <v>46047</v>
      </c>
      <c r="D69" s="82"/>
    </row>
    <row r="70" spans="1:4" ht="15.6" x14ac:dyDescent="0.3">
      <c r="A70" s="79">
        <v>67</v>
      </c>
      <c r="B70" s="80" t="s">
        <v>106</v>
      </c>
      <c r="C70" s="81"/>
      <c r="D70" s="82"/>
    </row>
    <row r="71" spans="1:4" ht="15.6" x14ac:dyDescent="0.3">
      <c r="A71" s="79">
        <v>68</v>
      </c>
      <c r="B71" s="80" t="s">
        <v>512</v>
      </c>
      <c r="C71" s="81"/>
      <c r="D71" s="82"/>
    </row>
    <row r="72" spans="1:4" ht="15.6" x14ac:dyDescent="0.3">
      <c r="A72" s="79">
        <v>69</v>
      </c>
      <c r="B72" s="80" t="s">
        <v>107</v>
      </c>
      <c r="C72" s="81"/>
      <c r="D72" s="82"/>
    </row>
    <row r="73" spans="1:4" ht="15.6" x14ac:dyDescent="0.3">
      <c r="A73" s="79">
        <v>70</v>
      </c>
      <c r="B73" s="80" t="s">
        <v>513</v>
      </c>
      <c r="C73" s="81"/>
      <c r="D73" s="82"/>
    </row>
    <row r="74" spans="1:4" ht="15.6" x14ac:dyDescent="0.3">
      <c r="A74" s="79">
        <v>71</v>
      </c>
      <c r="B74" s="80" t="s">
        <v>108</v>
      </c>
      <c r="C74" s="81"/>
      <c r="D74" s="82"/>
    </row>
    <row r="75" spans="1:4" ht="15.6" x14ac:dyDescent="0.3">
      <c r="A75" s="79">
        <v>72</v>
      </c>
      <c r="B75" s="80" t="s">
        <v>109</v>
      </c>
      <c r="C75" s="81"/>
      <c r="D75" s="82"/>
    </row>
    <row r="76" spans="1:4" ht="15.6" x14ac:dyDescent="0.3">
      <c r="A76" s="79">
        <v>73</v>
      </c>
      <c r="B76" s="80" t="s">
        <v>110</v>
      </c>
      <c r="C76" s="81"/>
      <c r="D76" s="82"/>
    </row>
    <row r="77" spans="1:4" ht="15.6" x14ac:dyDescent="0.3">
      <c r="A77" s="79">
        <v>74</v>
      </c>
      <c r="B77" s="80" t="s">
        <v>514</v>
      </c>
      <c r="C77" s="81"/>
      <c r="D77" s="82"/>
    </row>
    <row r="78" spans="1:4" ht="15.6" x14ac:dyDescent="0.3">
      <c r="A78" s="79">
        <v>75</v>
      </c>
      <c r="B78" s="80" t="s">
        <v>515</v>
      </c>
      <c r="C78" s="81"/>
      <c r="D78" s="82"/>
    </row>
    <row r="79" spans="1:4" ht="15.6" x14ac:dyDescent="0.3">
      <c r="A79" s="79">
        <v>76</v>
      </c>
      <c r="B79" s="80" t="s">
        <v>111</v>
      </c>
      <c r="C79" s="81"/>
      <c r="D79" s="82"/>
    </row>
    <row r="80" spans="1:4" ht="15.6" x14ac:dyDescent="0.3">
      <c r="A80" s="79">
        <v>77</v>
      </c>
      <c r="B80" s="80" t="s">
        <v>112</v>
      </c>
      <c r="C80" s="81"/>
      <c r="D80" s="82"/>
    </row>
    <row r="81" spans="1:4" ht="15.6" x14ac:dyDescent="0.3">
      <c r="A81" s="79">
        <v>78</v>
      </c>
      <c r="B81" s="80" t="s">
        <v>113</v>
      </c>
      <c r="C81" s="81"/>
      <c r="D81" s="82"/>
    </row>
    <row r="82" spans="1:4" ht="15.6" x14ac:dyDescent="0.3">
      <c r="A82" s="79">
        <v>79</v>
      </c>
      <c r="B82" s="80" t="s">
        <v>114</v>
      </c>
      <c r="C82" s="81"/>
      <c r="D82" s="82"/>
    </row>
    <row r="83" spans="1:4" ht="15.6" x14ac:dyDescent="0.3">
      <c r="A83" s="79">
        <v>80</v>
      </c>
      <c r="B83" s="80" t="s">
        <v>115</v>
      </c>
      <c r="C83" s="81"/>
      <c r="D83" s="82"/>
    </row>
    <row r="84" spans="1:4" ht="15.6" x14ac:dyDescent="0.3">
      <c r="A84" s="79">
        <v>81</v>
      </c>
      <c r="B84" s="80" t="s">
        <v>116</v>
      </c>
      <c r="C84" s="81"/>
      <c r="D84" s="82"/>
    </row>
    <row r="85" spans="1:4" ht="15.6" x14ac:dyDescent="0.3">
      <c r="A85" s="79">
        <v>82</v>
      </c>
      <c r="B85" s="80" t="s">
        <v>117</v>
      </c>
      <c r="C85" s="81"/>
      <c r="D85" s="82"/>
    </row>
    <row r="86" spans="1:4" ht="15.6" x14ac:dyDescent="0.3">
      <c r="A86" s="79">
        <v>83</v>
      </c>
      <c r="B86" s="80" t="s">
        <v>516</v>
      </c>
      <c r="C86" s="81"/>
      <c r="D86" s="82"/>
    </row>
    <row r="87" spans="1:4" ht="15.6" x14ac:dyDescent="0.3">
      <c r="A87" s="79">
        <v>84</v>
      </c>
      <c r="B87" s="80" t="s">
        <v>24</v>
      </c>
      <c r="C87" s="81"/>
      <c r="D87" s="82"/>
    </row>
    <row r="88" spans="1:4" ht="15.6" x14ac:dyDescent="0.3">
      <c r="A88" s="79">
        <v>85</v>
      </c>
      <c r="B88" s="80" t="s">
        <v>25</v>
      </c>
      <c r="C88" s="81"/>
      <c r="D88" s="82"/>
    </row>
    <row r="89" spans="1:4" ht="15.6" x14ac:dyDescent="0.3">
      <c r="A89" s="79">
        <v>86</v>
      </c>
      <c r="B89" s="80" t="s">
        <v>517</v>
      </c>
      <c r="C89" s="81"/>
      <c r="D89" s="82"/>
    </row>
    <row r="90" spans="1:4" ht="15.6" x14ac:dyDescent="0.3">
      <c r="A90" s="79">
        <v>87</v>
      </c>
      <c r="B90" s="80" t="s">
        <v>26</v>
      </c>
      <c r="C90" s="81"/>
      <c r="D90" s="82"/>
    </row>
    <row r="91" spans="1:4" ht="15.6" x14ac:dyDescent="0.3">
      <c r="A91" s="79">
        <v>88</v>
      </c>
      <c r="B91" s="80" t="s">
        <v>118</v>
      </c>
      <c r="C91" s="81"/>
      <c r="D91" s="82"/>
    </row>
    <row r="92" spans="1:4" ht="15.6" x14ac:dyDescent="0.3">
      <c r="A92" s="79">
        <v>89</v>
      </c>
      <c r="B92" s="80" t="s">
        <v>119</v>
      </c>
      <c r="C92" s="81"/>
      <c r="D92" s="82"/>
    </row>
    <row r="93" spans="1:4" ht="15.6" x14ac:dyDescent="0.3">
      <c r="A93" s="79">
        <v>90</v>
      </c>
      <c r="B93" s="80" t="s">
        <v>230</v>
      </c>
      <c r="C93" s="81"/>
      <c r="D93" s="82"/>
    </row>
    <row r="94" spans="1:4" ht="15.6" x14ac:dyDescent="0.3">
      <c r="A94" s="79">
        <v>91</v>
      </c>
      <c r="B94" s="80" t="s">
        <v>28</v>
      </c>
      <c r="C94" s="81"/>
      <c r="D94" s="82"/>
    </row>
    <row r="95" spans="1:4" ht="15.6" x14ac:dyDescent="0.3">
      <c r="A95" s="79">
        <v>92</v>
      </c>
      <c r="B95" s="80" t="s">
        <v>29</v>
      </c>
      <c r="C95" s="81"/>
      <c r="D95" s="82"/>
    </row>
    <row r="96" spans="1:4" ht="15.6" x14ac:dyDescent="0.3">
      <c r="A96" s="79">
        <v>93</v>
      </c>
      <c r="B96" s="80" t="s">
        <v>518</v>
      </c>
      <c r="C96" s="81"/>
      <c r="D96" s="82"/>
    </row>
    <row r="97" spans="1:4" ht="15.6" x14ac:dyDescent="0.3">
      <c r="A97" s="79">
        <v>94</v>
      </c>
      <c r="B97" s="80" t="s">
        <v>31</v>
      </c>
      <c r="C97" s="81"/>
      <c r="D97" s="82"/>
    </row>
    <row r="98" spans="1:4" ht="15.6" x14ac:dyDescent="0.3">
      <c r="A98" s="79">
        <v>95</v>
      </c>
      <c r="B98" s="80" t="s">
        <v>519</v>
      </c>
      <c r="C98" s="81"/>
      <c r="D98" s="82"/>
    </row>
    <row r="99" spans="1:4" ht="15.6" x14ac:dyDescent="0.3">
      <c r="A99" s="79">
        <v>96</v>
      </c>
      <c r="B99" s="80" t="s">
        <v>120</v>
      </c>
      <c r="C99" s="81"/>
      <c r="D99" s="82"/>
    </row>
    <row r="100" spans="1:4" ht="15.6" x14ac:dyDescent="0.3">
      <c r="A100" s="79">
        <v>97</v>
      </c>
      <c r="B100" s="80" t="s">
        <v>33</v>
      </c>
      <c r="C100" s="81"/>
      <c r="D100" s="82"/>
    </row>
    <row r="101" spans="1:4" ht="15.6" x14ac:dyDescent="0.3">
      <c r="A101" s="79">
        <v>98</v>
      </c>
      <c r="B101" s="80" t="s">
        <v>236</v>
      </c>
      <c r="C101" s="81"/>
      <c r="D101" s="82"/>
    </row>
    <row r="102" spans="1:4" ht="15.6" x14ac:dyDescent="0.3">
      <c r="A102" s="79">
        <v>99</v>
      </c>
      <c r="B102" s="80" t="s">
        <v>34</v>
      </c>
      <c r="C102" s="81">
        <v>46061</v>
      </c>
      <c r="D102" s="82"/>
    </row>
    <row r="103" spans="1:4" ht="15.6" x14ac:dyDescent="0.3">
      <c r="A103" s="79">
        <v>100</v>
      </c>
      <c r="B103" s="80" t="s">
        <v>483</v>
      </c>
      <c r="C103" s="81"/>
      <c r="D103" s="82"/>
    </row>
    <row r="104" spans="1:4" ht="15.6" x14ac:dyDescent="0.3">
      <c r="A104" s="79">
        <v>101</v>
      </c>
      <c r="B104" s="80" t="s">
        <v>520</v>
      </c>
      <c r="C104" s="81"/>
      <c r="D104" s="82"/>
    </row>
    <row r="105" spans="1:4" ht="15.6" x14ac:dyDescent="0.3">
      <c r="A105" s="79">
        <v>102</v>
      </c>
      <c r="B105" s="80" t="s">
        <v>521</v>
      </c>
      <c r="C105" s="81"/>
      <c r="D105" s="82"/>
    </row>
    <row r="106" spans="1:4" ht="15.6" x14ac:dyDescent="0.3">
      <c r="A106" s="79">
        <v>103</v>
      </c>
      <c r="B106" s="80" t="s">
        <v>522</v>
      </c>
      <c r="C106" s="81"/>
      <c r="D106" s="82"/>
    </row>
    <row r="107" spans="1:4" ht="15.6" x14ac:dyDescent="0.3">
      <c r="A107" s="79">
        <v>104</v>
      </c>
      <c r="B107" s="80" t="s">
        <v>523</v>
      </c>
      <c r="C107" s="81"/>
      <c r="D107" s="82"/>
    </row>
    <row r="108" spans="1:4" ht="15.6" x14ac:dyDescent="0.3">
      <c r="A108" s="79">
        <v>105</v>
      </c>
      <c r="B108" s="80" t="s">
        <v>38</v>
      </c>
      <c r="C108" s="81"/>
      <c r="D108" s="82"/>
    </row>
    <row r="109" spans="1:4" ht="15.6" x14ac:dyDescent="0.3">
      <c r="A109" s="79">
        <v>106</v>
      </c>
      <c r="B109" s="80" t="s">
        <v>39</v>
      </c>
      <c r="C109" s="81"/>
      <c r="D109" s="82"/>
    </row>
    <row r="110" spans="1:4" ht="15.6" x14ac:dyDescent="0.3">
      <c r="A110" s="79">
        <v>107</v>
      </c>
      <c r="B110" s="80" t="s">
        <v>524</v>
      </c>
      <c r="C110" s="84"/>
      <c r="D110" s="82"/>
    </row>
    <row r="111" spans="1:4" ht="15.6" x14ac:dyDescent="0.3">
      <c r="A111" s="79">
        <v>108</v>
      </c>
      <c r="B111" s="80" t="s">
        <v>525</v>
      </c>
      <c r="C111" s="81">
        <v>46102</v>
      </c>
      <c r="D111" s="82"/>
    </row>
    <row r="112" spans="1:4" ht="15.6" x14ac:dyDescent="0.3">
      <c r="A112" s="79">
        <v>109</v>
      </c>
      <c r="B112" s="80" t="s">
        <v>42</v>
      </c>
      <c r="C112" s="81"/>
      <c r="D112" s="82"/>
    </row>
    <row r="113" spans="1:4" ht="15.6" x14ac:dyDescent="0.3">
      <c r="A113" s="79">
        <v>110</v>
      </c>
      <c r="B113" s="80" t="s">
        <v>43</v>
      </c>
      <c r="C113" s="81"/>
      <c r="D113" s="82"/>
    </row>
    <row r="114" spans="1:4" ht="15.6" x14ac:dyDescent="0.3">
      <c r="A114" s="79">
        <v>111</v>
      </c>
      <c r="B114" s="80" t="s">
        <v>526</v>
      </c>
      <c r="C114" s="81"/>
      <c r="D114" s="82"/>
    </row>
    <row r="115" spans="1:4" ht="15.6" x14ac:dyDescent="0.3">
      <c r="A115" s="79">
        <v>112</v>
      </c>
      <c r="B115" s="80" t="s">
        <v>527</v>
      </c>
      <c r="C115" s="81"/>
      <c r="D115" s="82"/>
    </row>
    <row r="116" spans="1:4" ht="15.6" x14ac:dyDescent="0.3">
      <c r="A116" s="79">
        <v>113</v>
      </c>
      <c r="B116" s="80" t="s">
        <v>121</v>
      </c>
      <c r="C116" s="81">
        <v>46054</v>
      </c>
      <c r="D116" s="82"/>
    </row>
    <row r="117" spans="1:4" ht="15.6" x14ac:dyDescent="0.3">
      <c r="A117" s="79">
        <v>114</v>
      </c>
      <c r="B117" s="80" t="s">
        <v>46</v>
      </c>
      <c r="C117" s="81"/>
      <c r="D117" s="82"/>
    </row>
    <row r="118" spans="1:4" ht="15.6" x14ac:dyDescent="0.3">
      <c r="A118" s="79">
        <v>115</v>
      </c>
      <c r="B118" s="80" t="s">
        <v>528</v>
      </c>
      <c r="C118" s="81"/>
      <c r="D118" s="82"/>
    </row>
    <row r="119" spans="1:4" ht="15.6" x14ac:dyDescent="0.3">
      <c r="A119" s="79">
        <v>116</v>
      </c>
      <c r="B119" s="80" t="s">
        <v>48</v>
      </c>
      <c r="C119" s="81"/>
      <c r="D119" s="82"/>
    </row>
    <row r="120" spans="1:4" ht="15.6" x14ac:dyDescent="0.3">
      <c r="A120" s="79">
        <v>117</v>
      </c>
      <c r="B120" s="80" t="s">
        <v>49</v>
      </c>
      <c r="C120" s="81"/>
      <c r="D120" s="82"/>
    </row>
    <row r="121" spans="1:4" ht="15.6" x14ac:dyDescent="0.3">
      <c r="A121" s="79">
        <v>118</v>
      </c>
      <c r="B121" s="80" t="s">
        <v>50</v>
      </c>
      <c r="C121" s="81"/>
      <c r="D121" s="82"/>
    </row>
    <row r="122" spans="1:4" ht="15.6" x14ac:dyDescent="0.3">
      <c r="A122" s="79">
        <v>119</v>
      </c>
      <c r="B122" s="80" t="s">
        <v>122</v>
      </c>
      <c r="C122" s="81"/>
      <c r="D122" s="82"/>
    </row>
    <row r="123" spans="1:4" ht="15.6" x14ac:dyDescent="0.3">
      <c r="A123" s="79">
        <v>120</v>
      </c>
      <c r="B123" s="80" t="s">
        <v>51</v>
      </c>
      <c r="C123" s="81"/>
      <c r="D123" s="82"/>
    </row>
    <row r="124" spans="1:4" ht="15.6" x14ac:dyDescent="0.3">
      <c r="A124" s="79">
        <v>121</v>
      </c>
      <c r="B124" s="80" t="s">
        <v>529</v>
      </c>
      <c r="C124" s="81"/>
      <c r="D124" s="82"/>
    </row>
    <row r="125" spans="1:4" ht="15.6" x14ac:dyDescent="0.3">
      <c r="A125" s="79">
        <v>122</v>
      </c>
      <c r="B125" s="80" t="s">
        <v>53</v>
      </c>
      <c r="C125" s="81"/>
      <c r="D125" s="82"/>
    </row>
    <row r="126" spans="1:4" ht="15.6" x14ac:dyDescent="0.3">
      <c r="A126" s="79">
        <v>123</v>
      </c>
      <c r="B126" s="80" t="s">
        <v>54</v>
      </c>
      <c r="C126" s="81"/>
      <c r="D126" s="82"/>
    </row>
    <row r="127" spans="1:4" ht="15.6" x14ac:dyDescent="0.3">
      <c r="A127" s="79">
        <v>124</v>
      </c>
      <c r="B127" s="80" t="s">
        <v>55</v>
      </c>
      <c r="C127" s="81"/>
      <c r="D127" s="82"/>
    </row>
    <row r="128" spans="1:4" ht="15.6" x14ac:dyDescent="0.3">
      <c r="A128" s="79">
        <v>125</v>
      </c>
      <c r="B128" s="80" t="s">
        <v>56</v>
      </c>
      <c r="C128" s="81"/>
      <c r="D128" s="82"/>
    </row>
    <row r="129" spans="1:4" ht="15.6" x14ac:dyDescent="0.3">
      <c r="A129" s="79">
        <v>126</v>
      </c>
      <c r="B129" s="80" t="s">
        <v>57</v>
      </c>
      <c r="C129" s="81"/>
      <c r="D129" s="82"/>
    </row>
    <row r="130" spans="1:4" ht="15.6" x14ac:dyDescent="0.3">
      <c r="A130" s="79">
        <v>127</v>
      </c>
      <c r="B130" s="80" t="s">
        <v>58</v>
      </c>
      <c r="C130" s="81"/>
      <c r="D130" s="82"/>
    </row>
    <row r="131" spans="1:4" ht="15.6" x14ac:dyDescent="0.3">
      <c r="A131" s="79">
        <v>128</v>
      </c>
      <c r="B131" s="80" t="s">
        <v>59</v>
      </c>
      <c r="C131" s="81"/>
      <c r="D131" s="82"/>
    </row>
    <row r="132" spans="1:4" ht="15.6" x14ac:dyDescent="0.3">
      <c r="A132" s="79">
        <v>129</v>
      </c>
      <c r="B132" s="80" t="s">
        <v>123</v>
      </c>
      <c r="C132" s="81"/>
      <c r="D132" s="82"/>
    </row>
    <row r="133" spans="1:4" ht="15.6" x14ac:dyDescent="0.3">
      <c r="A133" s="79">
        <v>130</v>
      </c>
      <c r="B133" s="80" t="s">
        <v>60</v>
      </c>
      <c r="C133" s="81"/>
      <c r="D133" s="82"/>
    </row>
    <row r="134" spans="1:4" ht="15.6" x14ac:dyDescent="0.3">
      <c r="A134" s="79">
        <v>131</v>
      </c>
      <c r="B134" s="80" t="s">
        <v>530</v>
      </c>
      <c r="C134" s="81"/>
      <c r="D134" s="82"/>
    </row>
    <row r="135" spans="1:4" ht="15.6" x14ac:dyDescent="0.3">
      <c r="A135" s="79">
        <v>132</v>
      </c>
      <c r="B135" s="80" t="s">
        <v>124</v>
      </c>
      <c r="C135" s="81"/>
      <c r="D135" s="82"/>
    </row>
    <row r="136" spans="1:4" ht="15.6" x14ac:dyDescent="0.3">
      <c r="A136" s="79">
        <v>133</v>
      </c>
      <c r="B136" s="80" t="s">
        <v>62</v>
      </c>
      <c r="C136" s="81"/>
      <c r="D136" s="82"/>
    </row>
    <row r="137" spans="1:4" ht="15.6" x14ac:dyDescent="0.3">
      <c r="A137" s="79">
        <v>134</v>
      </c>
      <c r="B137" s="80" t="s">
        <v>531</v>
      </c>
      <c r="C137" s="81"/>
      <c r="D137" s="82"/>
    </row>
    <row r="138" spans="1:4" ht="15.6" x14ac:dyDescent="0.3">
      <c r="A138" s="79">
        <v>135</v>
      </c>
      <c r="B138" s="80" t="s">
        <v>64</v>
      </c>
      <c r="C138" s="81"/>
      <c r="D138" s="82"/>
    </row>
    <row r="139" spans="1:4" ht="15.6" x14ac:dyDescent="0.3">
      <c r="A139" s="79">
        <v>136</v>
      </c>
      <c r="B139" s="80" t="s">
        <v>65</v>
      </c>
      <c r="C139" s="81"/>
      <c r="D139" s="82"/>
    </row>
    <row r="140" spans="1:4" ht="15.6" x14ac:dyDescent="0.3">
      <c r="A140" s="79">
        <v>137</v>
      </c>
      <c r="B140" s="80" t="s">
        <v>66</v>
      </c>
      <c r="C140" s="81"/>
      <c r="D140" s="82"/>
    </row>
    <row r="141" spans="1:4" ht="15.6" x14ac:dyDescent="0.3">
      <c r="A141" s="79">
        <v>138</v>
      </c>
      <c r="B141" s="80" t="s">
        <v>67</v>
      </c>
      <c r="C141" s="81"/>
      <c r="D141" s="82"/>
    </row>
    <row r="142" spans="1:4" ht="15.6" x14ac:dyDescent="0.3">
      <c r="A142" s="79">
        <v>139</v>
      </c>
      <c r="B142" s="80" t="s">
        <v>68</v>
      </c>
      <c r="C142" s="81"/>
      <c r="D142" s="82"/>
    </row>
    <row r="143" spans="1:4" ht="15.6" x14ac:dyDescent="0.3">
      <c r="A143" s="79">
        <v>140</v>
      </c>
      <c r="B143" s="80" t="s">
        <v>255</v>
      </c>
      <c r="C143" s="81"/>
      <c r="D143" s="82"/>
    </row>
    <row r="144" spans="1:4" ht="15.6" x14ac:dyDescent="0.3">
      <c r="A144" s="79">
        <v>141</v>
      </c>
      <c r="B144" s="80" t="s">
        <v>69</v>
      </c>
      <c r="C144" s="81"/>
      <c r="D144" s="82"/>
    </row>
    <row r="145" spans="1:4" ht="15.6" x14ac:dyDescent="0.3">
      <c r="A145" s="79">
        <v>142</v>
      </c>
      <c r="B145" s="80" t="s">
        <v>70</v>
      </c>
      <c r="C145" s="81"/>
      <c r="D145" s="82"/>
    </row>
    <row r="146" spans="1:4" ht="15.6" x14ac:dyDescent="0.3">
      <c r="A146" s="79">
        <v>143</v>
      </c>
      <c r="B146" s="80" t="s">
        <v>71</v>
      </c>
      <c r="C146" s="81"/>
      <c r="D146" s="82"/>
    </row>
    <row r="147" spans="1:4" ht="15.6" x14ac:dyDescent="0.3">
      <c r="A147" s="79">
        <v>144</v>
      </c>
      <c r="B147" s="80" t="s">
        <v>72</v>
      </c>
      <c r="C147" s="81"/>
      <c r="D147" s="82"/>
    </row>
    <row r="148" spans="1:4" ht="15.6" x14ac:dyDescent="0.3">
      <c r="A148" s="79">
        <v>145</v>
      </c>
      <c r="B148" s="80" t="s">
        <v>73</v>
      </c>
      <c r="C148" s="81"/>
      <c r="D148" s="82"/>
    </row>
    <row r="149" spans="1:4" ht="15.6" x14ac:dyDescent="0.3">
      <c r="A149" s="79">
        <v>146</v>
      </c>
      <c r="B149" s="80" t="s">
        <v>74</v>
      </c>
      <c r="C149" s="81"/>
      <c r="D149" s="82"/>
    </row>
    <row r="150" spans="1:4" ht="15.6" x14ac:dyDescent="0.3">
      <c r="A150" s="79">
        <v>147</v>
      </c>
      <c r="B150" s="80" t="s">
        <v>532</v>
      </c>
      <c r="C150" s="81"/>
      <c r="D150" s="82"/>
    </row>
    <row r="151" spans="1:4" ht="15.6" x14ac:dyDescent="0.3">
      <c r="A151" s="79">
        <v>148</v>
      </c>
      <c r="B151" s="80" t="s">
        <v>76</v>
      </c>
      <c r="C151" s="81"/>
      <c r="D151" s="82"/>
    </row>
    <row r="152" spans="1:4" ht="15.6" x14ac:dyDescent="0.3">
      <c r="A152" s="79">
        <v>149</v>
      </c>
      <c r="B152" s="80" t="s">
        <v>77</v>
      </c>
      <c r="C152" s="81"/>
      <c r="D152" s="82"/>
    </row>
    <row r="153" spans="1:4" ht="15.6" x14ac:dyDescent="0.3">
      <c r="A153" s="79">
        <v>150</v>
      </c>
      <c r="B153" s="80" t="s">
        <v>262</v>
      </c>
      <c r="C153" s="81"/>
      <c r="D153" s="82"/>
    </row>
    <row r="154" spans="1:4" ht="15.6" x14ac:dyDescent="0.3">
      <c r="A154" s="79">
        <v>151</v>
      </c>
      <c r="B154" s="80" t="s">
        <v>78</v>
      </c>
      <c r="C154" s="81"/>
      <c r="D154" s="82"/>
    </row>
    <row r="155" spans="1:4" ht="15.6" x14ac:dyDescent="0.3">
      <c r="A155" s="79">
        <v>152</v>
      </c>
      <c r="B155" s="80" t="s">
        <v>79</v>
      </c>
      <c r="C155" s="81"/>
      <c r="D155" s="82"/>
    </row>
    <row r="156" spans="1:4" ht="15.6" x14ac:dyDescent="0.3">
      <c r="A156" s="79">
        <v>153</v>
      </c>
      <c r="B156" s="80" t="s">
        <v>378</v>
      </c>
      <c r="C156" s="81">
        <v>46096</v>
      </c>
      <c r="D156" s="82"/>
    </row>
    <row r="157" spans="1:4" ht="15.6" x14ac:dyDescent="0.3">
      <c r="A157" s="79">
        <v>154</v>
      </c>
      <c r="B157" s="80" t="s">
        <v>80</v>
      </c>
      <c r="C157" s="81"/>
      <c r="D157" s="82"/>
    </row>
    <row r="158" spans="1:4" ht="15.6" x14ac:dyDescent="0.3">
      <c r="A158" s="79">
        <v>155</v>
      </c>
      <c r="B158" s="80" t="s">
        <v>125</v>
      </c>
      <c r="C158" s="81"/>
      <c r="D158" s="82"/>
    </row>
    <row r="159" spans="1:4" ht="15.6" x14ac:dyDescent="0.3">
      <c r="A159" s="79">
        <v>156</v>
      </c>
      <c r="B159" s="80" t="s">
        <v>81</v>
      </c>
      <c r="C159" s="81"/>
      <c r="D159" s="82"/>
    </row>
    <row r="160" spans="1:4" ht="15.6" x14ac:dyDescent="0.3">
      <c r="A160" s="79">
        <v>157</v>
      </c>
      <c r="B160" s="80" t="s">
        <v>82</v>
      </c>
      <c r="C160" s="81"/>
      <c r="D160" s="82"/>
    </row>
    <row r="161" spans="1:4" ht="15.6" x14ac:dyDescent="0.3">
      <c r="A161" s="79">
        <v>158</v>
      </c>
      <c r="B161" s="80" t="s">
        <v>83</v>
      </c>
      <c r="C161" s="81"/>
      <c r="D161" s="82"/>
    </row>
    <row r="162" spans="1:4" ht="15.6" x14ac:dyDescent="0.3">
      <c r="A162" s="79">
        <v>159</v>
      </c>
      <c r="B162" s="80" t="s">
        <v>84</v>
      </c>
      <c r="C162" s="81"/>
      <c r="D162" s="82"/>
    </row>
    <row r="163" spans="1:4" ht="15.6" x14ac:dyDescent="0.3">
      <c r="A163" s="79">
        <v>160</v>
      </c>
      <c r="B163" s="80" t="s">
        <v>270</v>
      </c>
      <c r="C163" s="81"/>
      <c r="D163" s="82"/>
    </row>
    <row r="164" spans="1:4" ht="15.6" x14ac:dyDescent="0.3">
      <c r="A164" s="79">
        <v>161</v>
      </c>
      <c r="B164" s="80" t="s">
        <v>85</v>
      </c>
      <c r="C164" s="81"/>
      <c r="D164" s="82"/>
    </row>
    <row r="165" spans="1:4" ht="15.6" x14ac:dyDescent="0.3">
      <c r="A165" s="79">
        <v>162</v>
      </c>
      <c r="B165" s="80" t="s">
        <v>86</v>
      </c>
      <c r="C165" s="81"/>
      <c r="D165" s="82"/>
    </row>
    <row r="166" spans="1:4" ht="15.6" x14ac:dyDescent="0.3">
      <c r="A166" s="79">
        <v>163</v>
      </c>
      <c r="B166" s="80" t="s">
        <v>87</v>
      </c>
      <c r="C166" s="81"/>
      <c r="D166" s="82"/>
    </row>
    <row r="167" spans="1:4" ht="15.6" x14ac:dyDescent="0.3">
      <c r="A167" s="79">
        <v>164</v>
      </c>
      <c r="B167" s="80" t="s">
        <v>88</v>
      </c>
      <c r="C167" s="81"/>
      <c r="D167" s="82"/>
    </row>
    <row r="168" spans="1:4" ht="15.6" x14ac:dyDescent="0.3">
      <c r="A168" s="79">
        <v>165</v>
      </c>
      <c r="B168" s="80" t="s">
        <v>273</v>
      </c>
      <c r="C168" s="81"/>
      <c r="D168" s="82"/>
    </row>
    <row r="169" spans="1:4" ht="15.6" x14ac:dyDescent="0.3">
      <c r="A169" s="79">
        <v>166</v>
      </c>
      <c r="B169" s="80" t="s">
        <v>533</v>
      </c>
      <c r="C169" s="81"/>
      <c r="D169" s="82"/>
    </row>
    <row r="170" spans="1:4" ht="15.6" x14ac:dyDescent="0.3">
      <c r="A170" s="79">
        <v>167</v>
      </c>
      <c r="B170" s="80" t="s">
        <v>90</v>
      </c>
      <c r="C170" s="81"/>
      <c r="D170" s="82"/>
    </row>
    <row r="171" spans="1:4" ht="15.6" x14ac:dyDescent="0.3">
      <c r="A171" s="79">
        <v>168</v>
      </c>
      <c r="B171" s="80" t="s">
        <v>91</v>
      </c>
      <c r="C171" s="81"/>
      <c r="D171" s="82"/>
    </row>
    <row r="172" spans="1:4" ht="15.6" x14ac:dyDescent="0.3">
      <c r="A172" s="79">
        <v>169</v>
      </c>
      <c r="B172" s="80" t="s">
        <v>275</v>
      </c>
      <c r="C172" s="81">
        <v>46075</v>
      </c>
      <c r="D172" s="82"/>
    </row>
    <row r="173" spans="1:4" ht="15.6" x14ac:dyDescent="0.3">
      <c r="A173" s="79">
        <v>170</v>
      </c>
      <c r="B173" s="80" t="s">
        <v>276</v>
      </c>
      <c r="C173" s="81"/>
      <c r="D173" s="82"/>
    </row>
    <row r="174" spans="1:4" ht="15.6" x14ac:dyDescent="0.3">
      <c r="A174" s="79">
        <v>171</v>
      </c>
      <c r="B174" s="80" t="s">
        <v>406</v>
      </c>
      <c r="C174" s="81"/>
      <c r="D174" s="82"/>
    </row>
    <row r="175" spans="1:4" ht="15.6" x14ac:dyDescent="0.3">
      <c r="A175" s="79">
        <v>172</v>
      </c>
      <c r="B175" s="80" t="s">
        <v>278</v>
      </c>
      <c r="C175" s="81"/>
      <c r="D175" s="82"/>
    </row>
    <row r="176" spans="1:4" ht="15.6" x14ac:dyDescent="0.3">
      <c r="A176" s="79">
        <v>173</v>
      </c>
      <c r="B176" s="80" t="s">
        <v>407</v>
      </c>
      <c r="C176" s="81"/>
      <c r="D176" s="82"/>
    </row>
    <row r="177" spans="1:4" ht="15.6" x14ac:dyDescent="0.3">
      <c r="A177" s="79">
        <v>174</v>
      </c>
      <c r="B177" s="80" t="s">
        <v>534</v>
      </c>
      <c r="C177" s="81"/>
      <c r="D177" s="82"/>
    </row>
    <row r="178" spans="1:4" ht="15.6" x14ac:dyDescent="0.3">
      <c r="A178" s="79">
        <v>175</v>
      </c>
      <c r="B178" s="80" t="s">
        <v>282</v>
      </c>
      <c r="C178" s="81"/>
      <c r="D178" s="82"/>
    </row>
    <row r="179" spans="1:4" ht="15.6" x14ac:dyDescent="0.3">
      <c r="A179" s="79">
        <v>176</v>
      </c>
      <c r="B179" s="80" t="s">
        <v>408</v>
      </c>
      <c r="C179" s="81"/>
      <c r="D179" s="82"/>
    </row>
    <row r="180" spans="1:4" ht="15.6" x14ac:dyDescent="0.3">
      <c r="A180" s="79">
        <v>177</v>
      </c>
      <c r="B180" s="80" t="s">
        <v>400</v>
      </c>
      <c r="C180" s="81"/>
      <c r="D180" s="82"/>
    </row>
    <row r="181" spans="1:4" ht="15.6" x14ac:dyDescent="0.3">
      <c r="A181" s="79">
        <v>178</v>
      </c>
      <c r="B181" s="80" t="s">
        <v>286</v>
      </c>
      <c r="C181" s="81"/>
      <c r="D181" s="82"/>
    </row>
    <row r="182" spans="1:4" ht="15.6" x14ac:dyDescent="0.3">
      <c r="A182" s="79">
        <v>179</v>
      </c>
      <c r="B182" s="80" t="s">
        <v>409</v>
      </c>
      <c r="C182" s="81"/>
      <c r="D182" s="82"/>
    </row>
    <row r="183" spans="1:4" ht="15.6" x14ac:dyDescent="0.3">
      <c r="A183" s="79">
        <v>180</v>
      </c>
      <c r="B183" s="80" t="s">
        <v>410</v>
      </c>
      <c r="C183" s="81"/>
      <c r="D183" s="82"/>
    </row>
    <row r="184" spans="1:4" ht="15.6" x14ac:dyDescent="0.3">
      <c r="A184" s="79">
        <v>181</v>
      </c>
      <c r="B184" s="80" t="s">
        <v>411</v>
      </c>
      <c r="C184" s="81">
        <v>46033</v>
      </c>
      <c r="D184" s="82"/>
    </row>
    <row r="185" spans="1:4" ht="15.6" x14ac:dyDescent="0.3">
      <c r="A185" s="79">
        <v>182</v>
      </c>
      <c r="B185" s="80" t="s">
        <v>412</v>
      </c>
      <c r="C185" s="81"/>
      <c r="D185" s="82"/>
    </row>
    <row r="186" spans="1:4" ht="15.6" x14ac:dyDescent="0.3">
      <c r="A186" s="79">
        <v>183</v>
      </c>
      <c r="B186" s="80" t="s">
        <v>535</v>
      </c>
      <c r="C186" s="81"/>
      <c r="D186" s="82"/>
    </row>
    <row r="187" spans="1:4" ht="15.6" x14ac:dyDescent="0.3">
      <c r="A187" s="79">
        <v>184</v>
      </c>
      <c r="B187" s="80" t="s">
        <v>292</v>
      </c>
      <c r="C187" s="81"/>
      <c r="D187" s="82"/>
    </row>
    <row r="188" spans="1:4" ht="15.6" x14ac:dyDescent="0.3">
      <c r="A188" s="79">
        <v>185</v>
      </c>
      <c r="B188" s="80" t="s">
        <v>293</v>
      </c>
      <c r="C188" s="81"/>
      <c r="D188" s="82"/>
    </row>
    <row r="189" spans="1:4" ht="15.6" x14ac:dyDescent="0.3">
      <c r="A189" s="79">
        <v>186</v>
      </c>
      <c r="B189" s="80" t="s">
        <v>294</v>
      </c>
      <c r="C189" s="81"/>
      <c r="D189" s="82"/>
    </row>
    <row r="190" spans="1:4" ht="15.6" x14ac:dyDescent="0.3">
      <c r="A190" s="79">
        <v>187</v>
      </c>
      <c r="B190" s="80" t="s">
        <v>295</v>
      </c>
      <c r="C190" s="81"/>
      <c r="D190" s="82"/>
    </row>
    <row r="191" spans="1:4" ht="15.6" x14ac:dyDescent="0.3">
      <c r="A191" s="79">
        <v>188</v>
      </c>
      <c r="B191" s="80" t="s">
        <v>296</v>
      </c>
      <c r="C191" s="81"/>
      <c r="D191" s="82"/>
    </row>
    <row r="192" spans="1:4" ht="15.6" x14ac:dyDescent="0.3">
      <c r="A192" s="79">
        <v>189</v>
      </c>
      <c r="B192" s="80" t="s">
        <v>297</v>
      </c>
      <c r="C192" s="81"/>
      <c r="D192" s="82"/>
    </row>
    <row r="193" spans="1:4" ht="15.6" x14ac:dyDescent="0.3">
      <c r="A193" s="79">
        <v>190</v>
      </c>
      <c r="B193" s="80" t="s">
        <v>298</v>
      </c>
      <c r="C193" s="81"/>
      <c r="D193" s="82"/>
    </row>
    <row r="194" spans="1:4" ht="15.6" x14ac:dyDescent="0.3">
      <c r="A194" s="79">
        <v>191</v>
      </c>
      <c r="B194" s="80" t="s">
        <v>413</v>
      </c>
      <c r="C194" s="81"/>
      <c r="D194" s="82"/>
    </row>
    <row r="195" spans="1:4" ht="15.6" x14ac:dyDescent="0.3">
      <c r="A195" s="79">
        <v>192</v>
      </c>
      <c r="B195" s="80" t="s">
        <v>360</v>
      </c>
      <c r="C195" s="81">
        <v>46089</v>
      </c>
      <c r="D195" s="82"/>
    </row>
    <row r="196" spans="1:4" ht="15.6" x14ac:dyDescent="0.3">
      <c r="A196" s="79">
        <v>193</v>
      </c>
      <c r="B196" s="80" t="s">
        <v>414</v>
      </c>
      <c r="C196" s="81"/>
      <c r="D196" s="82"/>
    </row>
    <row r="197" spans="1:4" ht="15.6" x14ac:dyDescent="0.3">
      <c r="A197" s="85">
        <v>194</v>
      </c>
      <c r="B197" s="86" t="s">
        <v>536</v>
      </c>
      <c r="C197" s="87"/>
      <c r="D197" s="88"/>
    </row>
  </sheetData>
  <mergeCells count="2">
    <mergeCell ref="C2:D2"/>
    <mergeCell ref="A1:D1"/>
  </mergeCells>
  <phoneticPr fontId="23" type="noConversion"/>
  <pageMargins left="0.25" right="0.25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69CB9-B3F0-4C8D-824E-5A10B615061D}">
  <dimension ref="A2:S161"/>
  <sheetViews>
    <sheetView tabSelected="1" zoomScale="110" zoomScaleNormal="110" workbookViewId="0">
      <selection activeCell="J15" sqref="J15"/>
    </sheetView>
  </sheetViews>
  <sheetFormatPr baseColWidth="10" defaultColWidth="10.88671875" defaultRowHeight="14.4" x14ac:dyDescent="0.3"/>
  <cols>
    <col min="1" max="1" width="12.5546875" customWidth="1"/>
    <col min="2" max="2" width="2.21875" customWidth="1"/>
    <col min="4" max="4" width="17.77734375" customWidth="1"/>
    <col min="5" max="5" width="4.21875" customWidth="1"/>
    <col min="7" max="7" width="27.77734375" customWidth="1"/>
    <col min="8" max="8" width="9.21875" customWidth="1"/>
    <col min="9" max="9" width="11.44140625" customWidth="1"/>
    <col min="10" max="10" width="12" style="67" customWidth="1"/>
    <col min="11" max="11" width="2.21875" customWidth="1"/>
    <col min="12" max="12" width="16.21875" customWidth="1"/>
    <col min="13" max="13" width="3.77734375" customWidth="1"/>
    <col min="14" max="14" width="17.88671875" customWidth="1"/>
    <col min="15" max="15" width="8.21875" customWidth="1"/>
    <col min="17" max="17" width="21.77734375" customWidth="1"/>
    <col min="18" max="18" width="12.109375" customWidth="1"/>
  </cols>
  <sheetData>
    <row r="2" spans="1:19" ht="25.8" x14ac:dyDescent="0.5">
      <c r="B2" s="20"/>
      <c r="C2" s="18"/>
      <c r="D2" s="18"/>
      <c r="E2" s="212" t="s">
        <v>309</v>
      </c>
      <c r="F2" s="212"/>
      <c r="G2" s="212"/>
      <c r="H2" s="18"/>
      <c r="I2" s="18"/>
      <c r="J2" s="68"/>
      <c r="L2" s="232" t="s">
        <v>312</v>
      </c>
      <c r="M2" s="232"/>
      <c r="N2" s="232"/>
      <c r="O2" s="232"/>
      <c r="P2" s="232"/>
      <c r="Q2" s="232"/>
    </row>
    <row r="3" spans="1:19" ht="16.8" x14ac:dyDescent="0.35">
      <c r="E3" s="213" t="s">
        <v>339</v>
      </c>
      <c r="F3" s="213"/>
      <c r="G3" s="213"/>
    </row>
    <row r="5" spans="1:19" ht="23.4" x14ac:dyDescent="0.45">
      <c r="A5" s="71" t="s">
        <v>416</v>
      </c>
      <c r="B5" s="237" t="s">
        <v>537</v>
      </c>
      <c r="C5" s="15"/>
      <c r="D5" s="16"/>
      <c r="E5" s="191" t="s">
        <v>310</v>
      </c>
      <c r="F5" s="191"/>
      <c r="G5" s="191"/>
      <c r="H5" s="16"/>
      <c r="I5" s="190"/>
      <c r="J5" s="190"/>
    </row>
    <row r="6" spans="1:19" ht="18" x14ac:dyDescent="0.35">
      <c r="A6" s="72" t="s">
        <v>417</v>
      </c>
      <c r="B6" s="238"/>
      <c r="C6" s="195" t="s">
        <v>307</v>
      </c>
      <c r="D6" s="195"/>
      <c r="E6" s="33" t="s">
        <v>337</v>
      </c>
      <c r="F6" s="184" t="s">
        <v>127</v>
      </c>
      <c r="G6" s="184"/>
      <c r="H6" s="13" t="s">
        <v>308</v>
      </c>
      <c r="I6" s="14" t="s">
        <v>313</v>
      </c>
      <c r="J6" s="69" t="s">
        <v>306</v>
      </c>
      <c r="L6" s="179" t="s">
        <v>399</v>
      </c>
      <c r="M6" s="180"/>
      <c r="N6" s="17" t="s">
        <v>314</v>
      </c>
      <c r="O6" s="17" t="s">
        <v>315</v>
      </c>
      <c r="P6" s="183" t="s">
        <v>316</v>
      </c>
      <c r="Q6" s="183"/>
    </row>
    <row r="7" spans="1:19" ht="15.6" customHeight="1" x14ac:dyDescent="0.3">
      <c r="A7" s="150">
        <v>1</v>
      </c>
      <c r="B7">
        <v>6</v>
      </c>
      <c r="C7" s="153" t="s">
        <v>436</v>
      </c>
      <c r="D7" s="185"/>
      <c r="E7" s="155">
        <v>32</v>
      </c>
      <c r="F7" s="157" t="s">
        <v>176</v>
      </c>
      <c r="G7" s="158"/>
      <c r="H7" s="155">
        <v>3</v>
      </c>
      <c r="I7" s="186">
        <v>0.41666666666666669</v>
      </c>
      <c r="J7" s="120">
        <v>46026</v>
      </c>
      <c r="K7" t="str">
        <f>IF(F7 &lt;&gt; "", F7, _xlfn.XLOOKUP(E7, 'Lista de bosquejos'!A4:A197, 'Lista de bosquejos'!B4:B197, "Discurso no encontrado"))</f>
        <v>Cómo enfrentarse a las inquietudes de la vida</v>
      </c>
      <c r="L7" s="124" t="str">
        <f>IFERROR(
    _xlfn.LET(
        _xlpm.fila_encontrada, MATCH(F7, 'Lista de bosquejos'!B4:B237, 0),
        _xlpm.fecha_C, INDEX('Lista de bosquejos'!C4:C237, _xlpm.fila_encontrada),
        _xlpm.fecha_D, INDEX('Lista de bosquejos'!D4:D237, _xlpm.fila_encontrada),
        _xlpm.fecha_evaluar, MAX(_xlpm.fecha_C, _xlpm.fecha_D),
        _xlpm.diferencia, J7 - _xlpm.fecha_evaluar,
        IF(_xlpm.diferencia = 0, "Listo",
            IF(AND(_xlpm.diferencia &gt; 1, _xlpm.diferencia &lt; 365), "Reciente", "No reciente")
        )
    ),
    "¡No encontrado!"
)</f>
        <v>Listo</v>
      </c>
      <c r="M7" s="126">
        <f>IFERROR(MATCH(F7, 'Lista de bosquejos'!B4:B197, 0), "¿?")</f>
        <v>32</v>
      </c>
      <c r="N7" s="177"/>
      <c r="O7" s="177" t="s">
        <v>354</v>
      </c>
      <c r="P7" s="146"/>
      <c r="Q7" s="147"/>
    </row>
    <row r="8" spans="1:19" ht="15.6" x14ac:dyDescent="0.3">
      <c r="A8" s="151"/>
      <c r="C8" s="122" t="s">
        <v>453</v>
      </c>
      <c r="D8" s="123"/>
      <c r="E8" s="156"/>
      <c r="F8" s="159"/>
      <c r="G8" s="160"/>
      <c r="H8" s="156"/>
      <c r="I8" s="187"/>
      <c r="J8" s="121"/>
      <c r="L8" s="125"/>
      <c r="M8" s="127"/>
      <c r="N8" s="178"/>
      <c r="O8" s="178"/>
      <c r="P8" s="148"/>
      <c r="Q8" s="149"/>
    </row>
    <row r="9" spans="1:19" ht="15.6" customHeight="1" x14ac:dyDescent="0.3">
      <c r="A9" s="150">
        <v>2</v>
      </c>
      <c r="B9">
        <v>1</v>
      </c>
      <c r="C9" s="169" t="s">
        <v>440</v>
      </c>
      <c r="D9" s="170"/>
      <c r="E9" s="161">
        <v>189</v>
      </c>
      <c r="F9" s="163" t="s">
        <v>411</v>
      </c>
      <c r="G9" s="164"/>
      <c r="H9" s="161">
        <v>150</v>
      </c>
      <c r="I9" s="142">
        <v>0.41666666666666669</v>
      </c>
      <c r="J9" s="144">
        <v>46033</v>
      </c>
      <c r="K9" t="str">
        <f>IF(F9 &lt;&gt; "", F9, _xlfn.XLOOKUP(E9, 'Lista de bosquejos'!A4:A197, 'Lista de bosquejos'!B4:B197, "Discurso no encontrado"))</f>
        <v>¿Faltará menos de lo que usted cree?</v>
      </c>
      <c r="L9" s="124" t="str">
        <f>IFERROR(
    _xlfn.LET(
        _xlpm.fila_encontrada, MATCH(F9, 'Lista de bosquejos'!B4:B237, 0),
        _xlpm.fecha_C, INDEX('Lista de bosquejos'!C4:C237, _xlpm.fila_encontrada),
        _xlpm.fecha_D, INDEX('Lista de bosquejos'!D4:D237, _xlpm.fila_encontrada),
        _xlpm.fecha_evaluar, MAX(_xlpm.fecha_C, _xlpm.fecha_D),
        _xlpm.diferencia, J9 - _xlpm.fecha_evaluar,
        IF(_xlpm.diferencia = 0, "Listo",
            IF(AND(_xlpm.diferencia &gt; 1, _xlpm.diferencia &lt; 365), "Reciente", "No reciente")
        )
    ),
    "¡No encontrado!"
)</f>
        <v>Listo</v>
      </c>
      <c r="M9" s="126">
        <f>IFERROR(MATCH(F9, 'Lista de bosquejos'!B4:B197, 0), "¿?")</f>
        <v>181</v>
      </c>
      <c r="N9" s="134"/>
      <c r="O9" s="134" t="s">
        <v>354</v>
      </c>
      <c r="P9" s="136"/>
      <c r="Q9" s="137"/>
    </row>
    <row r="10" spans="1:19" ht="15.6" x14ac:dyDescent="0.3">
      <c r="A10" s="151"/>
      <c r="C10" s="167" t="s">
        <v>453</v>
      </c>
      <c r="D10" s="171"/>
      <c r="E10" s="162"/>
      <c r="F10" s="165"/>
      <c r="G10" s="166"/>
      <c r="H10" s="162"/>
      <c r="I10" s="143"/>
      <c r="J10" s="145"/>
      <c r="L10" s="125"/>
      <c r="M10" s="127"/>
      <c r="N10" s="135"/>
      <c r="O10" s="135"/>
      <c r="P10" s="138"/>
      <c r="Q10" s="139"/>
    </row>
    <row r="11" spans="1:19" ht="15.6" customHeight="1" x14ac:dyDescent="0.3">
      <c r="A11" s="150"/>
      <c r="B11">
        <v>2</v>
      </c>
      <c r="C11" s="153"/>
      <c r="D11" s="154"/>
      <c r="E11" s="155"/>
      <c r="F11" s="172" t="s">
        <v>495</v>
      </c>
      <c r="G11" s="214"/>
      <c r="H11" s="155"/>
      <c r="I11" s="186">
        <v>0.41666666666666702</v>
      </c>
      <c r="J11" s="120">
        <v>46040</v>
      </c>
      <c r="K11" t="str">
        <f>IF(F11 &lt;&gt; "", F11, _xlfn.XLOOKUP(E11, 'Lista de bosquejos'!A4:A197, 'Lista de bosquejos'!B4:B197, "Discurso no encontrado"))</f>
        <v>Visita del superintendente de circuito</v>
      </c>
      <c r="L11" s="124" t="str">
        <f>IFERROR(
    _xlfn.LET(
        _xlpm.fila_encontrada, MATCH(F11, 'Lista de bosquejos'!B4:B237, 0),
        _xlpm.fecha_C, INDEX('Lista de bosquejos'!C4:C237, _xlpm.fila_encontrada),
        _xlpm.fecha_D, INDEX('Lista de bosquejos'!D4:D237, _xlpm.fila_encontrada),
        _xlpm.fecha_evaluar, MAX(_xlpm.fecha_C, _xlpm.fecha_D),
        _xlpm.diferencia, J11 - _xlpm.fecha_evaluar,
        IF(_xlpm.diferencia = 0, "Listo",
            IF(AND(_xlpm.diferencia &gt; 1, _xlpm.diferencia &lt; 365), "Reciente", "No reciente")
        )
    ),
    "¡No encontrado!"
)</f>
        <v>¡No encontrado!</v>
      </c>
      <c r="M11" s="126" t="str">
        <f>IFERROR(MATCH(F11, 'Lista de bosquejos'!B4:B197, 0), "¿?")</f>
        <v>¿?</v>
      </c>
      <c r="N11" s="177"/>
      <c r="O11" s="177" t="s">
        <v>427</v>
      </c>
      <c r="P11" s="146"/>
      <c r="Q11" s="147"/>
      <c r="S11" s="8"/>
    </row>
    <row r="12" spans="1:19" ht="15.6" x14ac:dyDescent="0.3">
      <c r="A12" s="151"/>
      <c r="C12" s="122"/>
      <c r="D12" s="123"/>
      <c r="E12" s="156"/>
      <c r="F12" s="215"/>
      <c r="G12" s="216"/>
      <c r="H12" s="156"/>
      <c r="I12" s="187"/>
      <c r="J12" s="121"/>
      <c r="L12" s="125"/>
      <c r="M12" s="127"/>
      <c r="N12" s="178"/>
      <c r="O12" s="178"/>
      <c r="P12" s="148"/>
      <c r="Q12" s="149"/>
    </row>
    <row r="13" spans="1:19" ht="15.6" customHeight="1" x14ac:dyDescent="0.3">
      <c r="A13" s="150">
        <v>4</v>
      </c>
      <c r="B13">
        <v>3</v>
      </c>
      <c r="C13" s="140" t="s">
        <v>538</v>
      </c>
      <c r="D13" s="141"/>
      <c r="E13" s="161">
        <v>66</v>
      </c>
      <c r="F13" s="163" t="s">
        <v>105</v>
      </c>
      <c r="G13" s="164"/>
      <c r="H13" s="161">
        <v>64</v>
      </c>
      <c r="I13" s="142">
        <v>0.41666666666666702</v>
      </c>
      <c r="J13" s="144">
        <v>46047</v>
      </c>
      <c r="K13" t="str">
        <f>IF(F13 &lt;&gt; "", F13, _xlfn.XLOOKUP(E13, 'Lista de bosquejos'!A4:A197, 'Lista de bosquejos'!B4:B197, "Discurso no encontrado"))</f>
        <v>¿Será usted un buen trabajador en la cosecha?</v>
      </c>
      <c r="L13" s="124" t="str">
        <f>IFERROR(
    _xlfn.LET(
        _xlpm.fila_encontrada, MATCH(F13, 'Lista de bosquejos'!B4:B237, 0),
        _xlpm.fecha_C, INDEX('Lista de bosquejos'!C4:C237, _xlpm.fila_encontrada),
        _xlpm.fecha_D, INDEX('Lista de bosquejos'!D4:D237, _xlpm.fila_encontrada),
        _xlpm.fecha_evaluar, MAX(_xlpm.fecha_C, _xlpm.fecha_D),
        _xlpm.diferencia, J13 - _xlpm.fecha_evaluar,
        IF(_xlpm.diferencia = 0, "Listo",
            IF(AND(_xlpm.diferencia &gt; 1, _xlpm.diferencia &lt; 365), "Reciente", "No reciente")
        )
    ),
    "¡No encontrado!"
)</f>
        <v>Listo</v>
      </c>
      <c r="M13" s="126">
        <f>IFERROR(MATCH(F13, 'Lista de bosquejos'!B4:B197, 0), "¿?")</f>
        <v>66</v>
      </c>
      <c r="N13" s="134"/>
      <c r="O13" s="134" t="s">
        <v>354</v>
      </c>
      <c r="P13" s="136"/>
      <c r="Q13" s="137"/>
    </row>
    <row r="14" spans="1:19" ht="15.6" x14ac:dyDescent="0.3">
      <c r="A14" s="151"/>
      <c r="C14" s="167" t="s">
        <v>453</v>
      </c>
      <c r="D14" s="168"/>
      <c r="E14" s="162"/>
      <c r="F14" s="165"/>
      <c r="G14" s="166"/>
      <c r="H14" s="162"/>
      <c r="I14" s="143"/>
      <c r="J14" s="145"/>
      <c r="L14" s="125"/>
      <c r="M14" s="127"/>
      <c r="N14" s="135"/>
      <c r="O14" s="135"/>
      <c r="P14" s="138"/>
      <c r="Q14" s="139"/>
    </row>
    <row r="15" spans="1:19" x14ac:dyDescent="0.3">
      <c r="S15" s="19"/>
    </row>
    <row r="17" spans="1:18" ht="23.4" x14ac:dyDescent="0.45">
      <c r="A17" s="71" t="s">
        <v>416</v>
      </c>
      <c r="B17" s="237" t="s">
        <v>537</v>
      </c>
      <c r="C17" s="15"/>
      <c r="D17" s="16"/>
      <c r="E17" s="191" t="s">
        <v>311</v>
      </c>
      <c r="F17" s="191"/>
      <c r="G17" s="191"/>
      <c r="H17" s="16"/>
      <c r="I17" s="190"/>
      <c r="J17" s="190"/>
    </row>
    <row r="18" spans="1:18" ht="18" x14ac:dyDescent="0.35">
      <c r="A18" s="72" t="s">
        <v>417</v>
      </c>
      <c r="B18" s="238"/>
      <c r="C18" s="195" t="s">
        <v>307</v>
      </c>
      <c r="D18" s="195"/>
      <c r="E18" s="33" t="s">
        <v>337</v>
      </c>
      <c r="F18" s="184" t="s">
        <v>127</v>
      </c>
      <c r="G18" s="184"/>
      <c r="H18" s="13" t="s">
        <v>308</v>
      </c>
      <c r="I18" s="14" t="s">
        <v>313</v>
      </c>
      <c r="J18" s="69" t="s">
        <v>306</v>
      </c>
      <c r="L18" s="179" t="s">
        <v>399</v>
      </c>
      <c r="M18" s="180"/>
      <c r="N18" s="17" t="s">
        <v>314</v>
      </c>
      <c r="O18" s="17" t="s">
        <v>315</v>
      </c>
      <c r="P18" s="183" t="s">
        <v>316</v>
      </c>
      <c r="Q18" s="183"/>
    </row>
    <row r="19" spans="1:18" ht="15" customHeight="1" x14ac:dyDescent="0.3">
      <c r="A19" s="150">
        <v>5</v>
      </c>
      <c r="B19">
        <v>4</v>
      </c>
      <c r="C19" s="169" t="s">
        <v>485</v>
      </c>
      <c r="D19" s="199"/>
      <c r="E19" s="161">
        <v>113</v>
      </c>
      <c r="F19" s="200" t="s">
        <v>121</v>
      </c>
      <c r="G19" s="164"/>
      <c r="H19" s="161"/>
      <c r="I19" s="173">
        <v>0.41666666666666669</v>
      </c>
      <c r="J19" s="175">
        <v>46054</v>
      </c>
      <c r="K19" t="str">
        <f>IF(F19 &lt;&gt; "", F19, _xlfn.XLOOKUP(E19, 'Lista de bosquejos'!A4:A197, 'Lista de bosquejos'!B4:B197, "Discurso no encontrado"))</f>
        <v>Joven, ¿cómo puedes ser feliz y tener éxito?</v>
      </c>
      <c r="L19" s="124" t="str">
        <f>IFERROR(
    _xlfn.LET(
        _xlpm.fila_encontrada, MATCH(F19, 'Lista de bosquejos'!B4:B237, 0),
        _xlpm.fecha_C, INDEX('Lista de bosquejos'!C4:C237, _xlpm.fila_encontrada),
        _xlpm.fecha_D, INDEX('Lista de bosquejos'!D4:D237, _xlpm.fila_encontrada),
        _xlpm.fecha_evaluar, MAX(_xlpm.fecha_C, _xlpm.fecha_D),
        _xlpm.diferencia, J19 - _xlpm.fecha_evaluar,
        IF(_xlpm.diferencia = 0, "Listo",
            IF(AND(_xlpm.diferencia &gt; 1, _xlpm.diferencia &lt; 365), "Reciente", "No reciente")
        )
    ),
    "¡No encontrado!"
)</f>
        <v>Listo</v>
      </c>
      <c r="M19" s="181">
        <f>IFERROR(MATCH(F19, 'Lista de bosquejos'!B4:B197, 0), "¿?")</f>
        <v>113</v>
      </c>
      <c r="N19" s="210"/>
      <c r="O19" s="177" t="s">
        <v>354</v>
      </c>
      <c r="P19" s="222"/>
      <c r="Q19" s="223"/>
    </row>
    <row r="20" spans="1:18" ht="15.6" x14ac:dyDescent="0.3">
      <c r="A20" s="151"/>
      <c r="C20" s="167" t="s">
        <v>453</v>
      </c>
      <c r="D20" s="168"/>
      <c r="E20" s="162"/>
      <c r="F20" s="201"/>
      <c r="G20" s="166"/>
      <c r="H20" s="162"/>
      <c r="I20" s="174"/>
      <c r="J20" s="176"/>
      <c r="L20" s="125"/>
      <c r="M20" s="182"/>
      <c r="N20" s="211"/>
      <c r="O20" s="178"/>
      <c r="P20" s="224"/>
      <c r="Q20" s="225"/>
    </row>
    <row r="21" spans="1:18" ht="15" customHeight="1" x14ac:dyDescent="0.3">
      <c r="A21" s="150">
        <v>3</v>
      </c>
      <c r="B21">
        <v>5</v>
      </c>
      <c r="C21" s="153" t="s">
        <v>488</v>
      </c>
      <c r="D21" s="154"/>
      <c r="E21" s="155">
        <v>99</v>
      </c>
      <c r="F21" s="157" t="s">
        <v>34</v>
      </c>
      <c r="G21" s="158"/>
      <c r="H21" s="155"/>
      <c r="I21" s="186">
        <v>0.41666666666666669</v>
      </c>
      <c r="J21" s="120">
        <v>46061</v>
      </c>
      <c r="K21" t="str">
        <f>IF(F21 &lt;&gt; "", F21, _xlfn.XLOOKUP(E21, 'Lista de bosquejos'!A4:A197, 'Lista de bosquejos'!B4:B197, "Discurso no encontrado"))</f>
        <v>Por qué se puede confiar en la Biblia</v>
      </c>
      <c r="L21" s="124" t="str">
        <f>IFERROR(
    _xlfn.LET(
        _xlpm.fila_encontrada, MATCH(F21, 'Lista de bosquejos'!B4:B237, 0),
        _xlpm.fecha_C, INDEX('Lista de bosquejos'!C4:C237, _xlpm.fila_encontrada),
        _xlpm.fecha_D, INDEX('Lista de bosquejos'!D4:D237, _xlpm.fila_encontrada),
        _xlpm.fecha_evaluar, MAX(_xlpm.fecha_C, _xlpm.fecha_D),
        _xlpm.diferencia, J21 - _xlpm.fecha_evaluar,
        IF(_xlpm.diferencia = 0, "Listo",
            IF(AND(_xlpm.diferencia &gt; 1, _xlpm.diferencia &lt; 365), "Reciente", "No reciente")
        )
    ),
    "¡No encontrado!"
)</f>
        <v>Listo</v>
      </c>
      <c r="M21" s="181">
        <f>IFERROR(MATCH(F21, 'Lista de bosquejos'!B4:B197, 0), "¿?")</f>
        <v>99</v>
      </c>
      <c r="N21" s="219"/>
      <c r="O21" s="134"/>
      <c r="P21" s="226"/>
      <c r="Q21" s="227"/>
    </row>
    <row r="22" spans="1:18" ht="15.6" x14ac:dyDescent="0.3">
      <c r="A22" s="151"/>
      <c r="C22" s="122" t="s">
        <v>453</v>
      </c>
      <c r="D22" s="123"/>
      <c r="E22" s="156"/>
      <c r="F22" s="159"/>
      <c r="G22" s="160"/>
      <c r="H22" s="156"/>
      <c r="I22" s="187"/>
      <c r="J22" s="121"/>
      <c r="L22" s="125"/>
      <c r="M22" s="182"/>
      <c r="N22" s="220"/>
      <c r="O22" s="135"/>
      <c r="P22" s="228"/>
      <c r="Q22" s="229"/>
    </row>
    <row r="23" spans="1:18" ht="15.6" x14ac:dyDescent="0.3">
      <c r="A23" s="150"/>
      <c r="B23">
        <v>6</v>
      </c>
      <c r="C23" s="169"/>
      <c r="D23" s="199"/>
      <c r="E23" s="161"/>
      <c r="F23" s="192" t="s">
        <v>539</v>
      </c>
      <c r="G23" s="164"/>
      <c r="H23" s="161"/>
      <c r="I23" s="173">
        <v>0.375</v>
      </c>
      <c r="J23" s="175">
        <v>46068</v>
      </c>
      <c r="K23" t="str">
        <f>IF(F23 &lt;&gt; "", F23, _xlfn.XLOOKUP(E23, 'Lista de bosquejos'!A4:A197, 'Lista de bosquejos'!B4:B197, "Discurso no encontrado"))</f>
        <v>Reunión especial visita a la sucursal de centroamerica</v>
      </c>
      <c r="L23" s="124" t="str">
        <f>IFERROR(
    _xlfn.LET(
        _xlpm.fila_encontrada, MATCH(F23, 'Lista de bosquejos'!B4:B237, 0),
        _xlpm.fecha_C, INDEX('Lista de bosquejos'!C4:C237, _xlpm.fila_encontrada),
        _xlpm.fecha_D, INDEX('Lista de bosquejos'!D4:D237, _xlpm.fila_encontrada),
        _xlpm.fecha_evaluar, MAX(_xlpm.fecha_C, _xlpm.fecha_D),
        _xlpm.diferencia, J23 - _xlpm.fecha_evaluar,
        IF(_xlpm.diferencia = 0, "Listo",
            IF(AND(_xlpm.diferencia &gt; 1, _xlpm.diferencia &lt; 365), "Reciente", "No reciente")
        )
    ),
    "¡No encontrado!"
)</f>
        <v>¡No encontrado!</v>
      </c>
      <c r="M23" s="181" t="str">
        <f>IFERROR(MATCH(F23, 'Lista de bosquejos'!B4:B197, 0), "¿?")</f>
        <v>¿?</v>
      </c>
      <c r="N23" s="210"/>
      <c r="O23" s="177"/>
      <c r="P23" s="222"/>
      <c r="Q23" s="223"/>
    </row>
    <row r="24" spans="1:18" ht="15.6" x14ac:dyDescent="0.3">
      <c r="A24" s="151"/>
      <c r="C24" s="167"/>
      <c r="D24" s="168"/>
      <c r="E24" s="162"/>
      <c r="F24" s="165"/>
      <c r="G24" s="166"/>
      <c r="H24" s="162"/>
      <c r="I24" s="174"/>
      <c r="J24" s="176"/>
      <c r="L24" s="125"/>
      <c r="M24" s="182"/>
      <c r="N24" s="211"/>
      <c r="O24" s="178"/>
      <c r="P24" s="224"/>
      <c r="Q24" s="225"/>
    </row>
    <row r="25" spans="1:18" ht="15.6" x14ac:dyDescent="0.3">
      <c r="A25" s="150">
        <v>6</v>
      </c>
      <c r="B25">
        <v>1</v>
      </c>
      <c r="C25" s="217" t="s">
        <v>484</v>
      </c>
      <c r="D25" s="218"/>
      <c r="E25" s="155">
        <v>169</v>
      </c>
      <c r="F25" s="157" t="s">
        <v>496</v>
      </c>
      <c r="G25" s="158"/>
      <c r="H25" s="155">
        <v>98</v>
      </c>
      <c r="I25" s="186">
        <v>0.41666666666666702</v>
      </c>
      <c r="J25" s="120">
        <v>46075</v>
      </c>
      <c r="K25" t="str">
        <f>IF(F25 &lt;&gt; "", F25, _xlfn.XLOOKUP(E25, 'Lista de bosquejos'!A4:A197, 'Lista de bosquejos'!B4:B197, "Discurso no encontrado"))</f>
        <v>¿Por qué debemos guiarnos por la biblia?</v>
      </c>
      <c r="L25" s="124" t="str">
        <f>IFERROR(
    _xlfn.LET(
        _xlpm.fila_encontrada, MATCH(F25, 'Lista de bosquejos'!B4:B237, 0),
        _xlpm.fecha_C, INDEX('Lista de bosquejos'!C4:C237, _xlpm.fila_encontrada),
        _xlpm.fecha_D, INDEX('Lista de bosquejos'!D4:D237, _xlpm.fila_encontrada),
        _xlpm.fecha_evaluar, MAX(_xlpm.fecha_C, _xlpm.fecha_D),
        _xlpm.diferencia, J25 - _xlpm.fecha_evaluar,
        IF(_xlpm.diferencia = 0, "Listo",
            IF(AND(_xlpm.diferencia &gt; 1, _xlpm.diferencia &lt; 365), "Reciente", "No reciente")
        )
    ),
    "¡No encontrado!"
)</f>
        <v>Listo</v>
      </c>
      <c r="M25" s="181">
        <f>IFERROR(MATCH(F25, 'Lista de bosquejos'!B4:B197, 0), "¿?")</f>
        <v>169</v>
      </c>
      <c r="N25" s="219"/>
      <c r="O25" s="134"/>
      <c r="P25" s="206"/>
      <c r="Q25" s="207"/>
    </row>
    <row r="26" spans="1:18" ht="15.6" x14ac:dyDescent="0.3">
      <c r="A26" s="151"/>
      <c r="C26" s="122" t="s">
        <v>453</v>
      </c>
      <c r="D26" s="123"/>
      <c r="E26" s="156"/>
      <c r="F26" s="159"/>
      <c r="G26" s="160"/>
      <c r="H26" s="156"/>
      <c r="I26" s="187"/>
      <c r="J26" s="121"/>
      <c r="L26" s="125"/>
      <c r="M26" s="182"/>
      <c r="N26" s="220"/>
      <c r="O26" s="135"/>
      <c r="P26" s="208"/>
      <c r="Q26" s="209"/>
    </row>
    <row r="31" spans="1:18" ht="23.4" x14ac:dyDescent="0.45">
      <c r="A31" s="71" t="s">
        <v>416</v>
      </c>
      <c r="B31" s="237" t="s">
        <v>537</v>
      </c>
      <c r="C31" s="15"/>
      <c r="D31" s="16"/>
      <c r="E31" s="191" t="s">
        <v>338</v>
      </c>
      <c r="F31" s="191"/>
      <c r="G31" s="191"/>
      <c r="H31" s="16"/>
      <c r="I31" s="190"/>
      <c r="J31" s="190"/>
    </row>
    <row r="32" spans="1:18" ht="18" x14ac:dyDescent="0.35">
      <c r="A32" s="72" t="s">
        <v>417</v>
      </c>
      <c r="B32" s="238"/>
      <c r="C32" s="221" t="s">
        <v>307</v>
      </c>
      <c r="D32" s="221"/>
      <c r="E32" s="33" t="s">
        <v>337</v>
      </c>
      <c r="F32" s="184" t="s">
        <v>127</v>
      </c>
      <c r="G32" s="184"/>
      <c r="H32" s="13" t="s">
        <v>308</v>
      </c>
      <c r="I32" s="14" t="s">
        <v>313</v>
      </c>
      <c r="J32" s="69" t="s">
        <v>306</v>
      </c>
      <c r="L32" s="179" t="s">
        <v>399</v>
      </c>
      <c r="M32" s="180"/>
      <c r="N32" s="17" t="s">
        <v>314</v>
      </c>
      <c r="O32" s="17" t="s">
        <v>315</v>
      </c>
      <c r="P32" s="183" t="s">
        <v>316</v>
      </c>
      <c r="Q32" s="183"/>
      <c r="R32" s="8"/>
    </row>
    <row r="33" spans="1:18" ht="15.6" x14ac:dyDescent="0.3">
      <c r="A33" s="150">
        <v>1</v>
      </c>
      <c r="B33">
        <v>2</v>
      </c>
      <c r="C33" s="169" t="s">
        <v>486</v>
      </c>
      <c r="D33" s="170"/>
      <c r="E33" s="161"/>
      <c r="F33" s="163" t="s">
        <v>497</v>
      </c>
      <c r="G33" s="164"/>
      <c r="H33" s="161"/>
      <c r="I33" s="173">
        <v>0.41666666666666669</v>
      </c>
      <c r="J33" s="175">
        <v>46082</v>
      </c>
      <c r="K33" t="str">
        <f>IF(F33 &lt;&gt; "", F33, _xlfn.XLOOKUP(E33, 'Lista de bosquejos'!A4:A197, 'Lista de bosquejos'!B4:B197, "Discurso no encontrado"))</f>
        <v>¿Tendrá usted la marca para sobrevivir?</v>
      </c>
      <c r="L33" s="124" t="str">
        <f>IFERROR(
    _xlfn.LET(
        _xlpm.fila_encontrada, MATCH(F33, 'Lista de bosquejos'!B4:B237, 0),
        _xlpm.fecha_C, INDEX('Lista de bosquejos'!C4:C237, _xlpm.fila_encontrada),
        _xlpm.fecha_D, INDEX('Lista de bosquejos'!D4:D237, _xlpm.fila_encontrada),
        _xlpm.fecha_evaluar, MAX(_xlpm.fecha_C, _xlpm.fecha_D),
        _xlpm.diferencia, J33 - _xlpm.fecha_evaluar,
        IF(_xlpm.diferencia = 0, "Listo",
            IF(AND(_xlpm.diferencia &gt; 1, _xlpm.diferencia &lt; 365), "Reciente", "No reciente")
        )
    ),
    "¡No encontrado!"
)</f>
        <v>Listo</v>
      </c>
      <c r="M33" s="126">
        <f>IFERROR(MATCH(F33, 'Lista de bosquejos'!B4:B197, 0), "¿?")</f>
        <v>34</v>
      </c>
      <c r="N33" s="177"/>
      <c r="O33" s="177"/>
      <c r="P33" s="146"/>
      <c r="Q33" s="147"/>
      <c r="R33" s="8"/>
    </row>
    <row r="34" spans="1:18" ht="15.6" x14ac:dyDescent="0.3">
      <c r="A34" s="151"/>
      <c r="C34" s="167" t="s">
        <v>453</v>
      </c>
      <c r="D34" s="171"/>
      <c r="E34" s="162"/>
      <c r="F34" s="165"/>
      <c r="G34" s="166"/>
      <c r="H34" s="162"/>
      <c r="I34" s="174"/>
      <c r="J34" s="176"/>
      <c r="L34" s="125"/>
      <c r="M34" s="127"/>
      <c r="N34" s="178"/>
      <c r="O34" s="178"/>
      <c r="P34" s="148"/>
      <c r="Q34" s="149"/>
      <c r="R34" s="8"/>
    </row>
    <row r="35" spans="1:18" ht="15.6" x14ac:dyDescent="0.3">
      <c r="A35" s="150">
        <v>2</v>
      </c>
      <c r="B35">
        <v>3</v>
      </c>
      <c r="C35" s="153" t="s">
        <v>487</v>
      </c>
      <c r="D35" s="185"/>
      <c r="E35" s="155"/>
      <c r="F35" s="157" t="s">
        <v>360</v>
      </c>
      <c r="G35" s="158"/>
      <c r="H35" s="155"/>
      <c r="I35" s="186">
        <v>0.41666666666666669</v>
      </c>
      <c r="J35" s="120">
        <v>46089</v>
      </c>
      <c r="K35" t="str">
        <f>IF(F35 &lt;&gt; "", F35, _xlfn.XLOOKUP(E35, 'Lista de bosquejos'!A4:A197, 'Lista de bosquejos'!B4:B197, "Discurso no encontrado"))</f>
        <v>¿Anda usted por el camino que lleva a la vida eterna?</v>
      </c>
      <c r="L35" s="124" t="str">
        <f>IFERROR(
    _xlfn.LET(
        _xlpm.fila_encontrada, MATCH(F35, 'Lista de bosquejos'!B4:B237, 0),
        _xlpm.fecha_C, INDEX('Lista de bosquejos'!C4:C237, _xlpm.fila_encontrada),
        _xlpm.fecha_D, INDEX('Lista de bosquejos'!D4:D237, _xlpm.fila_encontrada),
        _xlpm.fecha_evaluar, MAX(_xlpm.fecha_C, _xlpm.fecha_D),
        _xlpm.diferencia, J35 - _xlpm.fecha_evaluar,
        IF(_xlpm.diferencia = 0, "Listo",
            IF(AND(_xlpm.diferencia &gt; 1, _xlpm.diferencia &lt; 365), "Reciente", "No reciente")
        )
    ),
    "¡No encontrado!"
)</f>
        <v>Listo</v>
      </c>
      <c r="M35" s="126">
        <f>IFERROR(MATCH(F35, 'Lista de bosquejos'!B4:B197, 0), "¿?")</f>
        <v>192</v>
      </c>
      <c r="N35" s="134"/>
      <c r="O35" s="134"/>
      <c r="P35" s="233"/>
      <c r="Q35" s="234"/>
    </row>
    <row r="36" spans="1:18" ht="15.6" x14ac:dyDescent="0.3">
      <c r="A36" s="151"/>
      <c r="C36" s="122" t="s">
        <v>453</v>
      </c>
      <c r="D36" s="123"/>
      <c r="E36" s="156"/>
      <c r="F36" s="159"/>
      <c r="G36" s="160"/>
      <c r="H36" s="156"/>
      <c r="I36" s="187"/>
      <c r="J36" s="121"/>
      <c r="L36" s="125"/>
      <c r="M36" s="127"/>
      <c r="N36" s="135"/>
      <c r="O36" s="135"/>
      <c r="P36" s="235"/>
      <c r="Q36" s="236"/>
    </row>
    <row r="37" spans="1:18" ht="15.6" x14ac:dyDescent="0.3">
      <c r="A37" s="150">
        <v>5</v>
      </c>
      <c r="B37">
        <v>4</v>
      </c>
      <c r="C37" s="169" t="s">
        <v>452</v>
      </c>
      <c r="D37" s="170"/>
      <c r="E37" s="161"/>
      <c r="F37" s="163" t="s">
        <v>378</v>
      </c>
      <c r="G37" s="164"/>
      <c r="H37" s="161"/>
      <c r="I37" s="173">
        <v>0.41666666666666702</v>
      </c>
      <c r="J37" s="175">
        <v>46096</v>
      </c>
      <c r="K37" t="str" cm="1">
        <f t="array" ref="K37">IF(F37 &lt;&gt; "", F37, _xlfn.XLOOKUP(E, 'Lista de bosquejos'!A4:A197, 'Lista de bosquejos'!B4:B197, "Discurso no encontrado"))</f>
        <v>Estemos muy pendientes del “impresionante día de Jehová”</v>
      </c>
      <c r="L37" s="124" t="str">
        <f>IFERROR(
    _xlfn.LET(
        _xlpm.fila_encontrada, MATCH(F37, 'Lista de bosquejos'!B4:B237, 0),
        _xlpm.fecha_C, INDEX('Lista de bosquejos'!C4:C237, _xlpm.fila_encontrada),
        _xlpm.fecha_D, INDEX('Lista de bosquejos'!D4:D237, _xlpm.fila_encontrada),
        _xlpm.fecha_evaluar, MAX(_xlpm.fecha_C, _xlpm.fecha_D),
        _xlpm.diferencia, J37 - _xlpm.fecha_evaluar,
        IF(_xlpm.diferencia = 0, "Listo",
            IF(AND(_xlpm.diferencia &gt; 1, _xlpm.diferencia &lt; 365), "Reciente", "No reciente")
        )
    ),
    "¡No encontrado!"
)</f>
        <v>Listo</v>
      </c>
      <c r="M37" s="126">
        <f>IFERROR(MATCH(F37, 'Lista de bosquejos'!B4:B197, 0), "¿?")</f>
        <v>153</v>
      </c>
      <c r="N37" s="177"/>
      <c r="O37" s="177"/>
      <c r="P37" s="146"/>
      <c r="Q37" s="147"/>
    </row>
    <row r="38" spans="1:18" ht="15.6" x14ac:dyDescent="0.3">
      <c r="A38" s="151"/>
      <c r="C38" s="167" t="s">
        <v>540</v>
      </c>
      <c r="D38" s="171"/>
      <c r="E38" s="162"/>
      <c r="F38" s="165"/>
      <c r="G38" s="166"/>
      <c r="H38" s="162"/>
      <c r="I38" s="174"/>
      <c r="J38" s="176"/>
      <c r="L38" s="125"/>
      <c r="M38" s="127"/>
      <c r="N38" s="178"/>
      <c r="O38" s="178"/>
      <c r="P38" s="148"/>
      <c r="Q38" s="149"/>
    </row>
    <row r="39" spans="1:18" ht="15" customHeight="1" x14ac:dyDescent="0.3">
      <c r="A39" s="150">
        <v>4</v>
      </c>
      <c r="B39">
        <v>5</v>
      </c>
      <c r="C39" s="153" t="s">
        <v>542</v>
      </c>
      <c r="D39" s="154"/>
      <c r="E39" s="155"/>
      <c r="F39" s="157" t="s">
        <v>525</v>
      </c>
      <c r="G39" s="158"/>
      <c r="H39" s="155">
        <v>153</v>
      </c>
      <c r="I39" s="186">
        <v>0.66666666666666663</v>
      </c>
      <c r="J39" s="120">
        <v>46102</v>
      </c>
      <c r="K39" t="str">
        <f>IF(F39&lt;&gt; "", F39, _xlfn.XLOOKUP(E39, 'Lista de bosquejos'!A4:A197, 'Lista de bosquejos'!B4:B197, "Discurso no encontrado"))</f>
        <v>Mire al futuro sin miedo</v>
      </c>
      <c r="L39" s="124" t="str">
        <f>IFERROR(
    _xlfn.LET(
        _xlpm.fila_encontrada, MATCH(F39, 'Lista de bosquejos'!B4:B237, 0),
        _xlpm.fecha_C, INDEX('Lista de bosquejos'!C4:C237, _xlpm.fila_encontrada),
        _xlpm.fecha_D, INDEX('Lista de bosquejos'!D4:D237, _xlpm.fila_encontrada),
        _xlpm.fecha_evaluar, MAX(_xlpm.fecha_C, _xlpm.fecha_D),
        _xlpm.diferencia, J39 - _xlpm.fecha_evaluar,
        IF(_xlpm.diferencia = 0, "Listo",
            IF(AND(_xlpm.diferencia &gt; 1, _xlpm.diferencia &lt; 365), "Reciente", "No reciente")
        )
    ),
    "¡No encontrado!"
)</f>
        <v>Listo</v>
      </c>
      <c r="M39" s="126">
        <f>IFERROR(MATCH(F39, 'Lista de bosquejos'!B4:B197, 0), "¿?")</f>
        <v>108</v>
      </c>
      <c r="N39" s="134"/>
      <c r="O39" s="134"/>
      <c r="P39" s="136"/>
      <c r="Q39" s="137"/>
    </row>
    <row r="40" spans="1:18" ht="15.6" x14ac:dyDescent="0.3">
      <c r="A40" s="151"/>
      <c r="C40" s="122" t="s">
        <v>541</v>
      </c>
      <c r="D40" s="123"/>
      <c r="E40" s="156"/>
      <c r="F40" s="159"/>
      <c r="G40" s="160"/>
      <c r="H40" s="156"/>
      <c r="I40" s="187"/>
      <c r="J40" s="121"/>
      <c r="L40" s="125"/>
      <c r="M40" s="127"/>
      <c r="N40" s="135"/>
      <c r="O40" s="135"/>
      <c r="P40" s="138"/>
      <c r="Q40" s="139"/>
    </row>
    <row r="41" spans="1:18" ht="15" customHeight="1" x14ac:dyDescent="0.3">
      <c r="A41" s="150">
        <v>3</v>
      </c>
      <c r="B41">
        <v>6</v>
      </c>
      <c r="C41" s="140" t="s">
        <v>543</v>
      </c>
      <c r="D41" s="141"/>
      <c r="E41" s="161"/>
      <c r="F41" s="192" t="s">
        <v>550</v>
      </c>
      <c r="G41" s="164"/>
      <c r="H41" s="161"/>
      <c r="I41" s="173">
        <v>0.41666666666666702</v>
      </c>
      <c r="J41" s="175">
        <v>46110</v>
      </c>
      <c r="K41" t="str">
        <f>IF(F41 &lt;&gt; "", F41, _xlfn.XLOOKUP(E41, 'Lista de bosquejos'!A4:A197, 'Lista de bosquejos'!B4:B197, "Discurso no encontrado"))</f>
        <v>Discurso especial 2026                        ¿Quién salvara el planeta?</v>
      </c>
      <c r="L41" s="124" t="str">
        <f>IFERROR(
    _xlfn.LET(
        _xlpm.fila_encontrada, MATCH(F41, 'Lista de bosquejos'!B4:B237, 0),
        _xlpm.fecha_C, INDEX('Lista de bosquejos'!C4:C237, _xlpm.fila_encontrada),
        _xlpm.fecha_D, INDEX('Lista de bosquejos'!D4:D237, _xlpm.fila_encontrada),
        _xlpm.fecha_evaluar, MAX(_xlpm.fecha_C, _xlpm.fecha_D),
        _xlpm.diferencia, J41 - _xlpm.fecha_evaluar,
        IF(_xlpm.diferencia = 0, "Listo",
            IF(AND(_xlpm.diferencia &gt; 1, _xlpm.diferencia &lt; 365), "Reciente", "No reciente")
        )
    ),
    "¡No encontrado!"
)</f>
        <v>¡No encontrado!</v>
      </c>
      <c r="M41" s="126" t="str">
        <f>IFERROR(MATCH(F41, 'Lista de bosquejos'!B4:B197, 0), "¿?")</f>
        <v>¿?</v>
      </c>
      <c r="N41" s="177"/>
      <c r="O41" s="177"/>
      <c r="P41" s="146"/>
      <c r="Q41" s="147"/>
    </row>
    <row r="42" spans="1:18" ht="15.6" x14ac:dyDescent="0.3">
      <c r="A42" s="151"/>
      <c r="C42" s="167" t="s">
        <v>544</v>
      </c>
      <c r="D42" s="168"/>
      <c r="E42" s="162"/>
      <c r="F42" s="165"/>
      <c r="G42" s="166"/>
      <c r="H42" s="162"/>
      <c r="I42" s="174"/>
      <c r="J42" s="176"/>
      <c r="L42" s="125"/>
      <c r="M42" s="127"/>
      <c r="N42" s="178"/>
      <c r="O42" s="178"/>
      <c r="P42" s="148"/>
      <c r="Q42" s="149"/>
    </row>
    <row r="45" spans="1:18" ht="23.4" x14ac:dyDescent="0.45">
      <c r="A45" s="71" t="s">
        <v>416</v>
      </c>
      <c r="B45" s="237" t="s">
        <v>537</v>
      </c>
      <c r="C45" s="15"/>
      <c r="D45" s="16"/>
      <c r="E45" s="191" t="s">
        <v>350</v>
      </c>
      <c r="F45" s="191"/>
      <c r="G45" s="191"/>
      <c r="H45" s="16"/>
      <c r="I45" s="190"/>
      <c r="J45" s="190"/>
    </row>
    <row r="46" spans="1:18" ht="18" x14ac:dyDescent="0.35">
      <c r="A46" s="72" t="s">
        <v>417</v>
      </c>
      <c r="B46" s="238"/>
      <c r="C46" s="195" t="s">
        <v>307</v>
      </c>
      <c r="D46" s="195"/>
      <c r="E46" s="33" t="s">
        <v>337</v>
      </c>
      <c r="F46" s="184" t="s">
        <v>127</v>
      </c>
      <c r="G46" s="184"/>
      <c r="H46" s="13" t="s">
        <v>308</v>
      </c>
      <c r="I46" s="14" t="s">
        <v>313</v>
      </c>
      <c r="J46" s="69" t="s">
        <v>306</v>
      </c>
      <c r="L46" s="179" t="s">
        <v>399</v>
      </c>
      <c r="M46" s="180"/>
      <c r="N46" s="17" t="s">
        <v>314</v>
      </c>
      <c r="O46" s="17" t="s">
        <v>315</v>
      </c>
      <c r="P46" s="183" t="s">
        <v>316</v>
      </c>
      <c r="Q46" s="183"/>
    </row>
    <row r="47" spans="1:18" ht="15.6" x14ac:dyDescent="0.3">
      <c r="A47" s="150">
        <v>6</v>
      </c>
      <c r="C47" s="153" t="s">
        <v>546</v>
      </c>
      <c r="D47" s="185"/>
      <c r="E47" s="155">
        <v>28</v>
      </c>
      <c r="F47" s="157" t="s">
        <v>547</v>
      </c>
      <c r="G47" s="158"/>
      <c r="H47" s="155"/>
      <c r="I47" s="186">
        <v>0.41666666666666669</v>
      </c>
      <c r="J47" s="120">
        <v>46117</v>
      </c>
      <c r="K47" t="str">
        <f>IF(F47 &lt;&gt; "", F47, _xlfn.XLOOKUP(E49, 'Lista de bosquejos'!A4:A197, 'Lista de bosquejos'!B4:B197, "Discurso no encontrado"))</f>
        <v>Muestre respeto y amor en su matrimonio</v>
      </c>
      <c r="L47" s="124" t="str">
        <f>IFERROR(IF(MATCH(F47, 'Lista de bosquejos'!B4:B197, 0), IF(AND(J47-INDEX('Lista de bosquejos'!D4:D197, MATCH(F47, 'Lista de bosquejos'!B4:B197, 0))&gt;1, J47-INDEX('Lista de bosquejos'!D4:D197, MATCH(F47, 'Lista de bosquejos'!B4:B197, 0))&lt;365), "Reciente", IF(J47=INDEX('Lista de bosquejos'!D4:D197, MATCH(F47, 'Lista de bosquejos'!B4:B197, 0)), "Listo", "No reciente")), "No encontrado"), "¡No encontrado!")</f>
        <v>No reciente</v>
      </c>
      <c r="M47" s="126">
        <f>IFERROR(MATCH(F47, 'Lista de bosquejos'!B4:B197, 0), "¿?")</f>
        <v>28</v>
      </c>
      <c r="N47" s="177"/>
      <c r="O47" s="177"/>
      <c r="P47" s="202"/>
      <c r="Q47" s="203"/>
    </row>
    <row r="48" spans="1:18" ht="15.6" x14ac:dyDescent="0.3">
      <c r="A48" s="151"/>
      <c r="B48">
        <v>1</v>
      </c>
      <c r="C48" s="122" t="s">
        <v>545</v>
      </c>
      <c r="D48" s="123"/>
      <c r="E48" s="156"/>
      <c r="F48" s="159"/>
      <c r="G48" s="160"/>
      <c r="H48" s="156"/>
      <c r="I48" s="187"/>
      <c r="J48" s="121"/>
      <c r="L48" s="125"/>
      <c r="M48" s="127"/>
      <c r="N48" s="178"/>
      <c r="O48" s="178"/>
      <c r="P48" s="204"/>
      <c r="Q48" s="205"/>
    </row>
    <row r="49" spans="1:17" ht="15.6" x14ac:dyDescent="0.3">
      <c r="A49" s="150"/>
      <c r="C49" s="169"/>
      <c r="D49" s="170"/>
      <c r="E49" s="161"/>
      <c r="F49" s="192" t="s">
        <v>359</v>
      </c>
      <c r="G49" s="164"/>
      <c r="H49" s="161"/>
      <c r="I49" s="142">
        <v>0.41666666666666669</v>
      </c>
      <c r="J49" s="144">
        <v>46124</v>
      </c>
      <c r="K49" t="str">
        <f>IF(F49 &lt;&gt; "", F49, _xlfn.XLOOKUP(E49, 'Lista de bosquejos'!A4:A197, 'Lista de bosquejos'!B4:B197, "Discurso no encontrado"))</f>
        <v>Asamblea de circuito</v>
      </c>
      <c r="L49" s="124" t="str">
        <f>IFERROR(IF(MATCH(F49, 'Lista de bosquejos'!B4:B197, 0), IF(AND(J49-INDEX('Lista de bosquejos'!D4:D197, MATCH(F49, 'Lista de bosquejos'!B4:B197, 0))&gt;1, J49-INDEX('Lista de bosquejos'!D4:D197, MATCH(F49, 'Lista de bosquejos'!B4:B197, 0))&lt;365), "Reciente", IF(J49=INDEX('Lista de bosquejos'!D4:D197, MATCH(F49, 'Lista de bosquejos'!B4:B197, 0)), "Listo", "No reciente")), "No encontrado"), "¡No encontrado!")</f>
        <v>¡No encontrado!</v>
      </c>
      <c r="M49" s="126" t="str">
        <f>IFERROR(MATCH(F49, 'Lista de bosquejos'!B4:B197, 0), "¿?")</f>
        <v>¿?</v>
      </c>
      <c r="N49" s="134"/>
      <c r="O49" s="134"/>
      <c r="P49" s="206"/>
      <c r="Q49" s="207"/>
    </row>
    <row r="50" spans="1:17" ht="15.6" x14ac:dyDescent="0.3">
      <c r="A50" s="151"/>
      <c r="C50" s="167"/>
      <c r="D50" s="171"/>
      <c r="E50" s="162"/>
      <c r="F50" s="165"/>
      <c r="G50" s="166"/>
      <c r="H50" s="162"/>
      <c r="I50" s="143"/>
      <c r="J50" s="145"/>
      <c r="L50" s="125"/>
      <c r="M50" s="127"/>
      <c r="N50" s="135"/>
      <c r="O50" s="135"/>
      <c r="P50" s="208"/>
      <c r="Q50" s="209"/>
    </row>
    <row r="51" spans="1:17" ht="15.6" x14ac:dyDescent="0.3">
      <c r="A51" s="150">
        <v>1</v>
      </c>
      <c r="C51" s="153" t="s">
        <v>548</v>
      </c>
      <c r="D51" s="154"/>
      <c r="E51" s="155">
        <v>157</v>
      </c>
      <c r="F51" s="157" t="s">
        <v>82</v>
      </c>
      <c r="G51" s="158"/>
      <c r="H51" s="155"/>
      <c r="I51" s="186">
        <v>0.41666666666666702</v>
      </c>
      <c r="J51" s="120">
        <v>46131</v>
      </c>
      <c r="K51" t="str">
        <f>IF(F51 &lt;&gt; "", F51, _xlfn.XLOOKUP(E51, 'Lista de bosquejos'!A4:A197, 'Lista de bosquejos'!B4:B197, "Discurso no encontrado"))</f>
        <v>Cómo adornan los cristianos la enseñanza divina</v>
      </c>
      <c r="L51" s="124" t="str">
        <f>IFERROR(IF(MATCH(F51, 'Lista de bosquejos'!B4:B197, 0), IF(AND(J51-INDEX('Lista de bosquejos'!D4:D197, MATCH(F51, 'Lista de bosquejos'!B4:B197, 0))&gt;1, J51-INDEX('Lista de bosquejos'!D4:D197, MATCH(F51, 'Lista de bosquejos'!B4:B197, 0))&lt;365), "Reciente", IF(J51=INDEX('Lista de bosquejos'!D4:D197, MATCH(F51, 'Lista de bosquejos'!B4:B197, 0)), "Listo", "No reciente")), "No encontrado"), "¡No encontrado!")</f>
        <v>No reciente</v>
      </c>
      <c r="M51" s="126">
        <f>IFERROR(MATCH(F51, 'Lista de bosquejos'!B4:B197, 0), "¿?")</f>
        <v>157</v>
      </c>
      <c r="N51" s="177"/>
      <c r="O51" s="177"/>
      <c r="P51" s="146"/>
      <c r="Q51" s="147"/>
    </row>
    <row r="52" spans="1:17" ht="15.6" x14ac:dyDescent="0.3">
      <c r="A52" s="151"/>
      <c r="B52">
        <v>2</v>
      </c>
      <c r="C52" s="122" t="s">
        <v>545</v>
      </c>
      <c r="D52" s="123"/>
      <c r="E52" s="156"/>
      <c r="F52" s="159"/>
      <c r="G52" s="160"/>
      <c r="H52" s="156"/>
      <c r="I52" s="187"/>
      <c r="J52" s="121"/>
      <c r="L52" s="125"/>
      <c r="M52" s="127"/>
      <c r="N52" s="178"/>
      <c r="O52" s="178"/>
      <c r="P52" s="148"/>
      <c r="Q52" s="149"/>
    </row>
    <row r="53" spans="1:17" ht="15.6" x14ac:dyDescent="0.3">
      <c r="A53" s="150">
        <v>2</v>
      </c>
      <c r="C53" s="140" t="s">
        <v>551</v>
      </c>
      <c r="D53" s="141"/>
      <c r="E53" s="161">
        <v>18</v>
      </c>
      <c r="F53" s="163" t="s">
        <v>501</v>
      </c>
      <c r="G53" s="164"/>
      <c r="H53" s="161"/>
      <c r="I53" s="142">
        <v>0.41666666666666702</v>
      </c>
      <c r="J53" s="144">
        <v>46138</v>
      </c>
      <c r="K53" t="str">
        <f>IF(F53 &lt;&gt; "", F53, _xlfn.XLOOKUP(E53, 'Lista de bosquejos'!A4:A197, 'Lista de bosquejos'!B4:B197, "Discurso no encontrado"))</f>
        <v>Haga de Jehová su “fortaleza”</v>
      </c>
      <c r="L53" s="124" t="str">
        <f>IFERROR(IF(MATCH(F53, 'Lista de bosquejos'!B4:B197, 0), IF(AND(J53-INDEX('Lista de bosquejos'!D4:D197, MATCH(F53, 'Lista de bosquejos'!B4:B197, 0))&gt;1, J53-INDEX('Lista de bosquejos'!D4:D197, MATCH(F53, 'Lista de bosquejos'!B4:B197, 0))&lt;365), "Reciente", IF(J53=INDEX('Lista de bosquejos'!D4:D197, MATCH(F53, 'Lista de bosquejos'!B4:B197, 0)), "Listo", "No reciente")), "No encontrado"), "¡No encontrado!")</f>
        <v>No reciente</v>
      </c>
      <c r="M53" s="126">
        <f>IFERROR(MATCH(F53, 'Lista de bosquejos'!B4:B197, 0), "¿?")</f>
        <v>18</v>
      </c>
      <c r="N53" s="134"/>
      <c r="O53" s="134"/>
      <c r="P53" s="206"/>
      <c r="Q53" s="207"/>
    </row>
    <row r="54" spans="1:17" ht="15.6" x14ac:dyDescent="0.3">
      <c r="A54" s="151"/>
      <c r="B54">
        <v>3</v>
      </c>
      <c r="C54" s="167" t="s">
        <v>545</v>
      </c>
      <c r="D54" s="168"/>
      <c r="E54" s="162"/>
      <c r="F54" s="165"/>
      <c r="G54" s="166"/>
      <c r="H54" s="162"/>
      <c r="I54" s="143"/>
      <c r="J54" s="145"/>
      <c r="L54" s="125"/>
      <c r="M54" s="127"/>
      <c r="N54" s="135"/>
      <c r="O54" s="135"/>
      <c r="P54" s="208"/>
      <c r="Q54" s="209"/>
    </row>
    <row r="57" spans="1:17" ht="23.4" x14ac:dyDescent="0.45">
      <c r="A57" s="71" t="s">
        <v>416</v>
      </c>
      <c r="B57" s="237" t="s">
        <v>537</v>
      </c>
      <c r="C57" s="15"/>
      <c r="D57" s="16"/>
      <c r="E57" s="191" t="s">
        <v>352</v>
      </c>
      <c r="F57" s="191"/>
      <c r="G57" s="191"/>
      <c r="H57" s="16"/>
      <c r="I57" s="190"/>
      <c r="J57" s="190"/>
    </row>
    <row r="58" spans="1:17" ht="18" x14ac:dyDescent="0.35">
      <c r="A58" s="72" t="s">
        <v>417</v>
      </c>
      <c r="B58" s="238"/>
      <c r="C58" s="195" t="s">
        <v>307</v>
      </c>
      <c r="D58" s="195"/>
      <c r="E58" s="33" t="s">
        <v>337</v>
      </c>
      <c r="F58" s="184" t="s">
        <v>127</v>
      </c>
      <c r="G58" s="184"/>
      <c r="H58" s="13" t="s">
        <v>308</v>
      </c>
      <c r="I58" s="14" t="s">
        <v>313</v>
      </c>
      <c r="J58" s="69" t="s">
        <v>306</v>
      </c>
      <c r="L58" s="179" t="s">
        <v>399</v>
      </c>
      <c r="M58" s="180"/>
      <c r="N58" s="17" t="s">
        <v>314</v>
      </c>
      <c r="O58" s="17" t="s">
        <v>315</v>
      </c>
      <c r="P58" s="183" t="s">
        <v>316</v>
      </c>
      <c r="Q58" s="183"/>
    </row>
    <row r="59" spans="1:17" ht="15.6" x14ac:dyDescent="0.3">
      <c r="A59" s="150">
        <v>3</v>
      </c>
      <c r="C59" s="153" t="s">
        <v>552</v>
      </c>
      <c r="D59" s="185"/>
      <c r="E59" s="155">
        <v>193</v>
      </c>
      <c r="F59" s="157" t="s">
        <v>414</v>
      </c>
      <c r="G59" s="158"/>
      <c r="H59" s="155"/>
      <c r="I59" s="186">
        <v>0.41666666666666669</v>
      </c>
      <c r="J59" s="120">
        <v>46145</v>
      </c>
      <c r="K59" t="str">
        <f>IF(F59 &lt;&gt; "", F59, _xlfn.XLOOKUP(E59, 'Lista de bosquejos'!A4:A197, 'Lista de bosquejos'!B4:B197, "Discurso no encontrado"))</f>
        <v>Pronto se nos librera de la angustia mundial</v>
      </c>
      <c r="L59" s="124" t="str">
        <f>IFERROR(IF(MATCH(F59, 'Lista de bosquejos'!B4:B197, 0), IF(AND(J59-INDEX('Lista de bosquejos'!D4:D197, MATCH(F59, 'Lista de bosquejos'!B4:B197, 0))&gt;1, J59-INDEX('Lista de bosquejos'!D4:D197, MATCH(F59, 'Lista de bosquejos'!B4:B197, 0))&lt;365), "Reciente", IF(J59=INDEX('Lista de bosquejos'!D4:D197, MATCH(F59, 'Lista de bosquejos'!B4:B197, 0)), "Listo", "No reciente")), "No encontrado"), "¡No encontrado!")</f>
        <v>No reciente</v>
      </c>
      <c r="M59" s="126">
        <f>IFERROR(MATCH(F59, 'Lista de bosquejos'!B4:B197, 0), "¿?")</f>
        <v>193</v>
      </c>
      <c r="N59" s="177"/>
      <c r="O59" s="177"/>
      <c r="P59" s="202"/>
      <c r="Q59" s="203"/>
    </row>
    <row r="60" spans="1:17" ht="15.6" x14ac:dyDescent="0.3">
      <c r="A60" s="151"/>
      <c r="B60">
        <v>4</v>
      </c>
      <c r="C60" s="122" t="s">
        <v>545</v>
      </c>
      <c r="D60" s="123"/>
      <c r="E60" s="156"/>
      <c r="F60" s="159"/>
      <c r="G60" s="160"/>
      <c r="H60" s="156"/>
      <c r="I60" s="187"/>
      <c r="J60" s="121"/>
      <c r="L60" s="125"/>
      <c r="M60" s="127"/>
      <c r="N60" s="178"/>
      <c r="O60" s="178"/>
      <c r="P60" s="204"/>
      <c r="Q60" s="205"/>
    </row>
    <row r="61" spans="1:17" ht="15.6" x14ac:dyDescent="0.3">
      <c r="A61" s="150">
        <v>4</v>
      </c>
      <c r="C61" s="169" t="s">
        <v>553</v>
      </c>
      <c r="D61" s="170"/>
      <c r="E61" s="161">
        <v>71</v>
      </c>
      <c r="F61" s="163" t="s">
        <v>108</v>
      </c>
      <c r="G61" s="164"/>
      <c r="H61" s="161"/>
      <c r="I61" s="142">
        <v>0.41666666666666669</v>
      </c>
      <c r="J61" s="144">
        <v>46152</v>
      </c>
      <c r="K61" t="str">
        <f>IF(F61 &lt;&gt; "", F61, _xlfn.XLOOKUP(E61, 'Lista de bosquejos'!A4:A197, 'Lista de bosquejos'!B4:B197, "Discurso no encontrado"))</f>
        <v>Ahora es el momento de estar despiertos</v>
      </c>
      <c r="L61" s="124" t="str">
        <f>IFERROR(IF(MATCH(F60, 'Lista de bosquejos'!B4:B197, 0), IF(AND(J60-INDEX('Lista de bosquejos'!D4:D197, MATCH(F60, 'Lista de bosquejos'!B4:B197, 0))&gt;1, J60-INDEX('Lista de bosquejos'!D4:D197, MATCH(F60, 'Lista de bosquejos'!B4:B197, 0))&lt;365), "Reciente", IF(J60=INDEX('Lista de bosquejos'!D4:D197, MATCH(F60, 'Lista de bosquejos'!B4:B197, 0)), "Listo", "No reciente")), "No encontrado"), "¡No encontrado!")</f>
        <v>¡No encontrado!</v>
      </c>
      <c r="M61" s="126">
        <f>IFERROR(MATCH(F61, 'Lista de bosquejos'!B4:B197, 0), "¿?")</f>
        <v>71</v>
      </c>
      <c r="N61" s="134"/>
      <c r="O61" s="134"/>
      <c r="P61" s="206"/>
      <c r="Q61" s="207"/>
    </row>
    <row r="62" spans="1:17" ht="15.6" x14ac:dyDescent="0.3">
      <c r="A62" s="151"/>
      <c r="B62">
        <v>5</v>
      </c>
      <c r="C62" s="167" t="s">
        <v>545</v>
      </c>
      <c r="D62" s="171"/>
      <c r="E62" s="162"/>
      <c r="F62" s="165"/>
      <c r="G62" s="166"/>
      <c r="H62" s="162"/>
      <c r="I62" s="143"/>
      <c r="J62" s="145"/>
      <c r="L62" s="125"/>
      <c r="M62" s="127"/>
      <c r="N62" s="135"/>
      <c r="O62" s="135"/>
      <c r="P62" s="208"/>
      <c r="Q62" s="209"/>
    </row>
    <row r="63" spans="1:17" ht="15.6" x14ac:dyDescent="0.3">
      <c r="A63" s="150">
        <v>5</v>
      </c>
      <c r="C63" s="153" t="s">
        <v>554</v>
      </c>
      <c r="D63" s="154"/>
      <c r="E63" s="155">
        <v>78</v>
      </c>
      <c r="F63" s="157" t="s">
        <v>113</v>
      </c>
      <c r="G63" s="158"/>
      <c r="H63" s="155"/>
      <c r="I63" s="186">
        <v>0.41666666666666702</v>
      </c>
      <c r="J63" s="120">
        <v>46159</v>
      </c>
      <c r="K63" t="str">
        <f>IF(F63 &lt;&gt; "", F63, _xlfn.XLOOKUP(E63, 'Lista de bosquejos'!A4:A197, 'Lista de bosquejos'!B4:B197, "Discurso no encontrado"))</f>
        <v>Sirva a Jehová con alegría</v>
      </c>
      <c r="L63" s="124" t="str">
        <f>IFERROR(IF(MATCH(F63, 'Lista de bosquejos'!B4:B197, 0), IF(AND(J63-INDEX('Lista de bosquejos'!D4:D197, MATCH(F63, 'Lista de bosquejos'!B4:B197, 0))&gt;1, J63-INDEX('Lista de bosquejos'!D4:D197, MATCH(F63, 'Lista de bosquejos'!B4:B197, 0))&lt;365), "Reciente", IF(J63=INDEX('Lista de bosquejos'!D4:D197, MATCH(F63, 'Lista de bosquejos'!B4:B197, 0)), "Listo", "No reciente")), "No encontrado"), "¡No encontrado!")</f>
        <v>No reciente</v>
      </c>
      <c r="M63" s="126">
        <f>IFERROR(MATCH(F63, 'Lista de bosquejos'!B4:B197, 0), "¿?")</f>
        <v>78</v>
      </c>
      <c r="N63" s="177"/>
      <c r="O63" s="177"/>
      <c r="P63" s="202"/>
      <c r="Q63" s="203"/>
    </row>
    <row r="64" spans="1:17" ht="15.6" x14ac:dyDescent="0.3">
      <c r="A64" s="151"/>
      <c r="B64">
        <v>6</v>
      </c>
      <c r="C64" s="122" t="s">
        <v>545</v>
      </c>
      <c r="D64" s="123"/>
      <c r="E64" s="156"/>
      <c r="F64" s="159"/>
      <c r="G64" s="160"/>
      <c r="H64" s="156"/>
      <c r="I64" s="187"/>
      <c r="J64" s="121"/>
      <c r="L64" s="125"/>
      <c r="M64" s="127"/>
      <c r="N64" s="178"/>
      <c r="O64" s="178"/>
      <c r="P64" s="204"/>
      <c r="Q64" s="205"/>
    </row>
    <row r="65" spans="1:17" ht="15.6" x14ac:dyDescent="0.3">
      <c r="A65" s="150">
        <v>6</v>
      </c>
      <c r="C65" s="140" t="s">
        <v>555</v>
      </c>
      <c r="D65" s="141"/>
      <c r="E65" s="161">
        <v>65</v>
      </c>
      <c r="F65" s="163" t="s">
        <v>209</v>
      </c>
      <c r="G65" s="164"/>
      <c r="H65" s="161"/>
      <c r="I65" s="142">
        <v>0.41666666666666702</v>
      </c>
      <c r="J65" s="144">
        <v>46166</v>
      </c>
      <c r="K65" t="str">
        <f>IF(F65 &lt;&gt; "", F65, _xlfn.XLOOKUP(E65, 'Lista de bosquejos'!A4:A197, 'Lista de bosquejos'!B4:B197, "Discurso no encontrado"))</f>
        <v>¿Cómo podemos ser pacíficos en un mundo violento?</v>
      </c>
      <c r="L65" s="124" t="str">
        <f>IFERROR(IF(MATCH(F65, 'Lista de bosquejos'!B4:B197, 0), IF(AND(J65-INDEX('Lista de bosquejos'!D4:D197, MATCH(F65, 'Lista de bosquejos'!B4:B197, 0))&gt;1, J65-INDEX('Lista de bosquejos'!D4:D197, MATCH(F65, 'Lista de bosquejos'!B4:B197, 0))&lt;365), "Reciente", IF(J65=INDEX('Lista de bosquejos'!D4:D197, MATCH(F65, 'Lista de bosquejos'!B4:B197, 0)), "Listo", "No reciente")), "No encontrado"), "¡No encontrado!")</f>
        <v>No reciente</v>
      </c>
      <c r="M65" s="126">
        <f>IFERROR(MATCH(F65, 'Lista de bosquejos'!B4:B197, 0), "¿?")</f>
        <v>65</v>
      </c>
      <c r="N65" s="134"/>
      <c r="O65" s="134"/>
      <c r="P65" s="206"/>
      <c r="Q65" s="207"/>
    </row>
    <row r="66" spans="1:17" ht="15.6" x14ac:dyDescent="0.3">
      <c r="A66" s="151"/>
      <c r="B66">
        <v>1</v>
      </c>
      <c r="C66" s="167" t="s">
        <v>545</v>
      </c>
      <c r="D66" s="168"/>
      <c r="E66" s="162"/>
      <c r="F66" s="165"/>
      <c r="G66" s="166"/>
      <c r="H66" s="162"/>
      <c r="I66" s="143"/>
      <c r="J66" s="145"/>
      <c r="L66" s="125"/>
      <c r="M66" s="127"/>
      <c r="N66" s="135"/>
      <c r="O66" s="135"/>
      <c r="P66" s="208"/>
      <c r="Q66" s="209"/>
    </row>
    <row r="67" spans="1:17" ht="15.6" x14ac:dyDescent="0.3">
      <c r="A67" s="150">
        <v>1</v>
      </c>
      <c r="C67" s="153" t="s">
        <v>556</v>
      </c>
      <c r="D67" s="185"/>
      <c r="E67" s="155">
        <v>40</v>
      </c>
      <c r="F67" s="157" t="s">
        <v>505</v>
      </c>
      <c r="G67" s="158"/>
      <c r="H67" s="155"/>
      <c r="I67" s="186">
        <v>0.41666666666666702</v>
      </c>
      <c r="J67" s="120">
        <v>46173</v>
      </c>
      <c r="K67" t="str">
        <f>IF(F67 &lt;&gt; "", F67, _xlfn.XLOOKUP(E67, 'Lista de bosquejos'!A4:A197, 'Lista de bosquejos'!B4:B197, "Discurso no encontrado"))</f>
        <v>¿Qué sucederá en el futuro cercano?</v>
      </c>
      <c r="L67" s="124" t="str">
        <f>IFERROR(IF(MATCH(F67, 'Lista de bosquejos'!B4:B197, 0), IF(AND(J67-INDEX('Lista de bosquejos'!D4:D197, MATCH(F67, 'Lista de bosquejos'!B4:B197, 0))&gt;1, J67-INDEX('Lista de bosquejos'!D4:D197, MATCH(F67, 'Lista de bosquejos'!B4:B197, 0))&lt;365), "Reciente", IF(J67=INDEX('Lista de bosquejos'!D4:D197, MATCH(F67, 'Lista de bosquejos'!B4:B197, 0)), "Listo", "No reciente")), "No encontrado"), "¡No encontrado!")</f>
        <v>No reciente</v>
      </c>
      <c r="M67" s="126">
        <f>IFERROR(MATCH(F67, 'Lista de bosquejos'!B4:B197, 0), "¿?")</f>
        <v>40</v>
      </c>
      <c r="N67" s="177"/>
      <c r="O67" s="177"/>
      <c r="P67" s="202"/>
      <c r="Q67" s="203"/>
    </row>
    <row r="68" spans="1:17" ht="15.6" x14ac:dyDescent="0.3">
      <c r="A68" s="151"/>
      <c r="B68">
        <v>2</v>
      </c>
      <c r="C68" s="122" t="s">
        <v>545</v>
      </c>
      <c r="D68" s="123"/>
      <c r="E68" s="156"/>
      <c r="F68" s="159"/>
      <c r="G68" s="160"/>
      <c r="H68" s="156"/>
      <c r="I68" s="187"/>
      <c r="J68" s="121"/>
      <c r="L68" s="125"/>
      <c r="M68" s="127"/>
      <c r="N68" s="178"/>
      <c r="O68" s="178"/>
      <c r="P68" s="204"/>
      <c r="Q68" s="205"/>
    </row>
    <row r="71" spans="1:17" ht="23.4" x14ac:dyDescent="0.45">
      <c r="A71" s="71" t="s">
        <v>416</v>
      </c>
      <c r="B71" s="237" t="s">
        <v>537</v>
      </c>
      <c r="C71" s="15"/>
      <c r="D71" s="16"/>
      <c r="E71" s="191" t="s">
        <v>353</v>
      </c>
      <c r="F71" s="191"/>
      <c r="G71" s="191"/>
      <c r="H71" s="16"/>
      <c r="I71" s="190"/>
      <c r="J71" s="190"/>
    </row>
    <row r="72" spans="1:17" ht="18" x14ac:dyDescent="0.35">
      <c r="A72" s="72" t="s">
        <v>417</v>
      </c>
      <c r="B72" s="238"/>
      <c r="C72" s="195" t="s">
        <v>307</v>
      </c>
      <c r="D72" s="195"/>
      <c r="E72" s="33" t="s">
        <v>337</v>
      </c>
      <c r="F72" s="184" t="s">
        <v>127</v>
      </c>
      <c r="G72" s="184"/>
      <c r="H72" s="13" t="s">
        <v>308</v>
      </c>
      <c r="I72" s="14" t="s">
        <v>313</v>
      </c>
      <c r="J72" s="69" t="s">
        <v>306</v>
      </c>
      <c r="L72" s="179" t="s">
        <v>399</v>
      </c>
      <c r="M72" s="180"/>
      <c r="N72" s="17" t="s">
        <v>314</v>
      </c>
      <c r="O72" s="17" t="s">
        <v>315</v>
      </c>
      <c r="P72" s="183" t="s">
        <v>316</v>
      </c>
      <c r="Q72" s="183"/>
    </row>
    <row r="73" spans="1:17" ht="15.6" customHeight="1" x14ac:dyDescent="0.3">
      <c r="A73" s="150">
        <v>1</v>
      </c>
      <c r="C73" s="217"/>
      <c r="D73" s="218"/>
      <c r="E73" s="155"/>
      <c r="F73" s="197"/>
      <c r="G73" s="158"/>
      <c r="H73" s="155"/>
      <c r="I73" s="186">
        <v>0.41666666666666669</v>
      </c>
      <c r="J73" s="120">
        <v>46180</v>
      </c>
      <c r="K73" t="str">
        <f>IF(F73 &lt;&gt; "", F73, _xlfn.XLOOKUP(E73, 'Lista de bosquejos'!A4:A197, 'Lista de bosquejos'!B4:B197, "Discurso no encontrado"))</f>
        <v>Discurso no encontrado</v>
      </c>
      <c r="L73" s="124" t="str">
        <f>IFERROR(IF(MATCH(F73, 'Lista de bosquejos'!B4:B197, 0), IF(AND(J73-INDEX('Lista de bosquejos'!D4:D197, MATCH(F73, 'Lista de bosquejos'!B4:B197, 0))&gt;1, J73-INDEX('Lista de bosquejos'!D4:D197, MATCH(F73, 'Lista de bosquejos'!B4:B197, 0))&lt;365), "Reciente", IF(J73=INDEX('Lista de bosquejos'!D4:D197, MATCH(F73, 'Lista de bosquejos'!B4:B197, 0)), "Listo", "No reciente")), "No encontrado"), "¡No encontrado!")</f>
        <v>¡No encontrado!</v>
      </c>
      <c r="M73" s="126" t="str">
        <f>IFERROR(MATCH(F73, 'Lista de bosquejos'!B4:B197, 0), "¿?")</f>
        <v>¿?</v>
      </c>
      <c r="N73" s="134"/>
      <c r="O73" s="134"/>
      <c r="P73" s="136"/>
      <c r="Q73" s="137"/>
    </row>
    <row r="74" spans="1:17" ht="15.6" x14ac:dyDescent="0.3">
      <c r="A74" s="151"/>
      <c r="C74" s="122" t="s">
        <v>357</v>
      </c>
      <c r="D74" s="123"/>
      <c r="E74" s="156"/>
      <c r="F74" s="198"/>
      <c r="G74" s="160"/>
      <c r="H74" s="156"/>
      <c r="I74" s="187"/>
      <c r="J74" s="121"/>
      <c r="L74" s="125"/>
      <c r="M74" s="127"/>
      <c r="N74" s="135"/>
      <c r="O74" s="135"/>
      <c r="P74" s="138"/>
      <c r="Q74" s="139"/>
    </row>
    <row r="75" spans="1:17" ht="15.6" customHeight="1" x14ac:dyDescent="0.3">
      <c r="A75" s="150">
        <v>2</v>
      </c>
      <c r="C75" s="169"/>
      <c r="D75" s="199"/>
      <c r="E75" s="161"/>
      <c r="F75" s="200"/>
      <c r="G75" s="164"/>
      <c r="H75" s="161"/>
      <c r="I75" s="142">
        <v>0.41666666666666669</v>
      </c>
      <c r="J75" s="144">
        <v>46187</v>
      </c>
      <c r="K75" t="str">
        <f>IF(F75 &lt;&gt; "", F75, _xlfn.XLOOKUP(E75, 'Lista de bosquejos'!A4:A197, 'Lista de bosquejos'!B4:B197, "Discurso no encontrado"))</f>
        <v>Discurso no encontrado</v>
      </c>
      <c r="L75" s="124" t="str">
        <f>IFERROR(IF(MATCH(F75, 'Lista de bosquejos'!B4:B197, 0), IF(AND(J75-INDEX('Lista de bosquejos'!D4:D197, MATCH(F75, 'Lista de bosquejos'!B4:B197, 0))&gt;1, J75-INDEX('Lista de bosquejos'!D4:D197, MATCH(F75, 'Lista de bosquejos'!B4:B197, 0))&lt;365), "Reciente", IF(J75=INDEX('Lista de bosquejos'!D4:D197, MATCH(F75, 'Lista de bosquejos'!B4:B197, 0)), "Listo", "No reciente")), "No encontrado"), "¡No encontrado!")</f>
        <v>¡No encontrado!</v>
      </c>
      <c r="M75" s="126" t="str">
        <f>IFERROR(MATCH(F75, 'Lista de bosquejos'!B4:B197, 0), "¿?")</f>
        <v>¿?</v>
      </c>
      <c r="N75" s="128"/>
      <c r="O75" s="128"/>
      <c r="P75" s="130"/>
      <c r="Q75" s="131"/>
    </row>
    <row r="76" spans="1:17" ht="15.6" x14ac:dyDescent="0.3">
      <c r="A76" s="151"/>
      <c r="C76" s="167" t="s">
        <v>357</v>
      </c>
      <c r="D76" s="168"/>
      <c r="E76" s="162"/>
      <c r="F76" s="201"/>
      <c r="G76" s="166"/>
      <c r="H76" s="162"/>
      <c r="I76" s="143"/>
      <c r="J76" s="145"/>
      <c r="L76" s="125"/>
      <c r="M76" s="127"/>
      <c r="N76" s="129"/>
      <c r="O76" s="129"/>
      <c r="P76" s="132"/>
      <c r="Q76" s="133"/>
    </row>
    <row r="77" spans="1:17" ht="15.6" customHeight="1" x14ac:dyDescent="0.3">
      <c r="A77" s="150">
        <v>5</v>
      </c>
      <c r="C77" s="217"/>
      <c r="D77" s="218"/>
      <c r="E77" s="155"/>
      <c r="F77" s="197"/>
      <c r="G77" s="158"/>
      <c r="H77" s="155"/>
      <c r="I77" s="186">
        <v>0.41666666666666702</v>
      </c>
      <c r="J77" s="120">
        <v>46194</v>
      </c>
      <c r="K77" t="str">
        <f>IF(F77 &lt;&gt; "", F17, _xlfn.XLOOKUP(E77, 'Lista de bosquejos'!A4:A197, 'Lista de bosquejos'!B4:B197, "Discurso no encontrado"))</f>
        <v>Discurso no encontrado</v>
      </c>
      <c r="L77" s="124" t="str">
        <f>IFERROR(IF(MATCH(F77, 'Lista de bosquejos'!B4:B197, 0), IF(AND(J77-INDEX('Lista de bosquejos'!D4:D197, MATCH(F77, 'Lista de bosquejos'!B4:B197, 0))&gt;1, J77-INDEX('Lista de bosquejos'!D4:D197, MATCH(F77, 'Lista de bosquejos'!B4:B197, 0))&lt;365), "Reciente", IF(J77=INDEX('Lista de bosquejos'!D4:D197, MATCH(F77, 'Lista de bosquejos'!B4:B197, 0)), "Listo", "No reciente")), "No encontrado"), "¡No encontrado!")</f>
        <v>¡No encontrado!</v>
      </c>
      <c r="M77" s="126" t="str">
        <f>IFERROR(MATCH(F77, 'Lista de bosquejos'!B4:B197, 0), "¿?")</f>
        <v>¿?</v>
      </c>
      <c r="N77" s="134"/>
      <c r="O77" s="134"/>
      <c r="P77" s="136"/>
      <c r="Q77" s="137"/>
    </row>
    <row r="78" spans="1:17" ht="15.6" x14ac:dyDescent="0.3">
      <c r="A78" s="151"/>
      <c r="C78" s="122" t="s">
        <v>357</v>
      </c>
      <c r="D78" s="123"/>
      <c r="E78" s="156"/>
      <c r="F78" s="198"/>
      <c r="G78" s="160"/>
      <c r="H78" s="156"/>
      <c r="I78" s="187"/>
      <c r="J78" s="121"/>
      <c r="L78" s="125"/>
      <c r="M78" s="127"/>
      <c r="N78" s="135"/>
      <c r="O78" s="135"/>
      <c r="P78" s="138"/>
      <c r="Q78" s="139"/>
    </row>
    <row r="79" spans="1:17" ht="15.6" customHeight="1" x14ac:dyDescent="0.3">
      <c r="A79" s="150">
        <v>4</v>
      </c>
      <c r="C79" s="169"/>
      <c r="D79" s="199"/>
      <c r="E79" s="161"/>
      <c r="F79" s="200"/>
      <c r="G79" s="164"/>
      <c r="H79" s="161"/>
      <c r="I79" s="142">
        <v>0.41666666666666702</v>
      </c>
      <c r="J79" s="144">
        <v>46201</v>
      </c>
      <c r="K79" t="str">
        <f>IF(F79 &lt;&gt; "", F79, _xlfn.XLOOKUP(E79, 'Lista de bosquejos'!A4:A197, 'Lista de bosquejos'!B4:B197, "Discurso no encontrado"))</f>
        <v>Discurso no encontrado</v>
      </c>
      <c r="L79" s="124" t="str">
        <f>IFERROR(IF(MATCH(F79, 'Lista de bosquejos'!B4:B197, 0), IF(AND(J79-INDEX('Lista de bosquejos'!D4:D197, MATCH(F79, 'Lista de bosquejos'!B4:B197, 0))&gt;1, J79-INDEX('Lista de bosquejos'!D4:D197, MATCH(F79, 'Lista de bosquejos'!B4:B197, 0))&lt;365), "Reciente", IF(J79=INDEX('Lista de bosquejos'!D4:D197, MATCH(F79, 'Lista de bosquejos'!B4:B197, 0)), "Listo", "No reciente")), "No encontrado"), "¡No encontrado!")</f>
        <v>¡No encontrado!</v>
      </c>
      <c r="M79" s="126" t="str">
        <f>IFERROR(MATCH(F79, 'Lista de bosquejos'!B4:B197, 0), "¿?")</f>
        <v>¿?</v>
      </c>
      <c r="N79" s="128" t="s">
        <v>374</v>
      </c>
      <c r="O79" s="128"/>
      <c r="P79" s="130"/>
      <c r="Q79" s="131"/>
    </row>
    <row r="80" spans="1:17" ht="15.6" x14ac:dyDescent="0.3">
      <c r="A80" s="151"/>
      <c r="C80" s="167" t="s">
        <v>357</v>
      </c>
      <c r="D80" s="168"/>
      <c r="E80" s="162"/>
      <c r="F80" s="201"/>
      <c r="G80" s="166"/>
      <c r="H80" s="162"/>
      <c r="I80" s="143"/>
      <c r="J80" s="145"/>
      <c r="L80" s="125"/>
      <c r="M80" s="127"/>
      <c r="N80" s="129"/>
      <c r="O80" s="129"/>
      <c r="P80" s="132"/>
      <c r="Q80" s="133"/>
    </row>
    <row r="83" spans="1:17" ht="23.4" x14ac:dyDescent="0.45">
      <c r="A83" s="71" t="s">
        <v>416</v>
      </c>
      <c r="B83" s="237" t="s">
        <v>537</v>
      </c>
      <c r="C83" s="15"/>
      <c r="D83" s="16"/>
      <c r="E83" s="191" t="s">
        <v>367</v>
      </c>
      <c r="F83" s="191"/>
      <c r="G83" s="191"/>
      <c r="H83" s="16"/>
      <c r="I83" s="190"/>
      <c r="J83" s="190"/>
    </row>
    <row r="84" spans="1:17" ht="18" x14ac:dyDescent="0.35">
      <c r="A84" s="72" t="s">
        <v>417</v>
      </c>
      <c r="B84" s="238"/>
      <c r="C84" s="195" t="s">
        <v>307</v>
      </c>
      <c r="D84" s="195"/>
      <c r="E84" s="33" t="s">
        <v>337</v>
      </c>
      <c r="F84" s="184" t="s">
        <v>127</v>
      </c>
      <c r="G84" s="184"/>
      <c r="H84" s="13" t="s">
        <v>308</v>
      </c>
      <c r="I84" s="14" t="s">
        <v>313</v>
      </c>
      <c r="J84" s="69" t="s">
        <v>306</v>
      </c>
      <c r="L84" s="179" t="s">
        <v>399</v>
      </c>
      <c r="M84" s="180"/>
      <c r="N84" s="17" t="s">
        <v>314</v>
      </c>
      <c r="O84" s="17" t="s">
        <v>315</v>
      </c>
      <c r="P84" s="183" t="s">
        <v>316</v>
      </c>
      <c r="Q84" s="183"/>
    </row>
    <row r="85" spans="1:17" ht="15.6" x14ac:dyDescent="0.3">
      <c r="A85" s="150">
        <v>1</v>
      </c>
      <c r="C85" s="153"/>
      <c r="D85" s="185"/>
      <c r="E85" s="155"/>
      <c r="F85" s="197"/>
      <c r="G85" s="158"/>
      <c r="H85" s="155"/>
      <c r="I85" s="186">
        <v>0.41666666666666669</v>
      </c>
      <c r="J85" s="120">
        <v>46208</v>
      </c>
      <c r="K85" t="str">
        <f>IF(F85 &lt;&gt; "", F85, _xlfn.XLOOKUP(E85, 'Lista de bosquejos'!A4:A197, 'Lista de bosquejos'!B4:B197, "Discurso no encontrado"))</f>
        <v>Discurso no encontrado</v>
      </c>
      <c r="L85" s="124" t="str">
        <f>IFERROR(IF(MATCH(F85, 'Lista de bosquejos'!B4:B197, 0), IF(AND(J85-INDEX('Lista de bosquejos'!D4:D197, MATCH(F85, 'Lista de bosquejos'!B4:B197, 0))&gt;1, J85-INDEX('Lista de bosquejos'!D4:D197, MATCH(F85, 'Lista de bosquejos'!B4:B197, 0))&lt;365), "Reciente", IF(J85=INDEX('Lista de bosquejos'!D4:D197, MATCH(F85, 'Lista de bosquejos'!B4:B197, 0)), "Listo", "No reciente")), "No encontrado"), "¡No encontrado!")</f>
        <v>¡No encontrado!</v>
      </c>
      <c r="M85" s="126" t="str">
        <f>IFERROR(MATCH(F85, 'Lista de bosquejos'!B4:B197, 0), "¿?")</f>
        <v>¿?</v>
      </c>
      <c r="N85" s="134"/>
      <c r="O85" s="134"/>
      <c r="P85" s="136"/>
      <c r="Q85" s="137"/>
    </row>
    <row r="86" spans="1:17" ht="15.6" x14ac:dyDescent="0.3">
      <c r="A86" s="151"/>
      <c r="C86" s="122" t="s">
        <v>357</v>
      </c>
      <c r="D86" s="123"/>
      <c r="E86" s="156"/>
      <c r="F86" s="198"/>
      <c r="G86" s="160"/>
      <c r="H86" s="156"/>
      <c r="I86" s="187"/>
      <c r="J86" s="121"/>
      <c r="L86" s="125"/>
      <c r="M86" s="127"/>
      <c r="N86" s="135"/>
      <c r="O86" s="135"/>
      <c r="P86" s="138"/>
      <c r="Q86" s="139"/>
    </row>
    <row r="87" spans="1:17" ht="15.6" x14ac:dyDescent="0.3">
      <c r="A87" s="150">
        <v>2</v>
      </c>
      <c r="C87" s="169"/>
      <c r="D87" s="199"/>
      <c r="E87" s="161"/>
      <c r="F87" s="200"/>
      <c r="G87" s="164"/>
      <c r="H87" s="161"/>
      <c r="I87" s="142">
        <v>0.41666666666666669</v>
      </c>
      <c r="J87" s="144">
        <v>46215</v>
      </c>
      <c r="K87" t="str">
        <f>IF(F87 &lt;&gt; "", F87, _xlfn.XLOOKUP(E87, 'Lista de bosquejos'!A4:A197, 'Lista de bosquejos'!B4:B197, "Discurso no encontrado"))</f>
        <v>Discurso no encontrado</v>
      </c>
      <c r="L87" s="124" t="str">
        <f>IFERROR(IF(MATCH(F87, 'Lista de bosquejos'!B4:B197, 0), IF(AND(J87-INDEX('Lista de bosquejos'!D4:D197, MATCH(F87, 'Lista de bosquejos'!B4:B197, 0))&gt;1, J87-INDEX('Lista de bosquejos'!D4:D197, MATCH(F87, 'Lista de bosquejos'!B4:B197, 0))&lt;365), "Reciente", IF(J87=INDEX('Lista de bosquejos'!D4:D197, MATCH(F87, 'Lista de bosquejos'!B4:B197, 0)), "Listo", "No reciente")), "No encontrado"), "¡No encontrado!")</f>
        <v>¡No encontrado!</v>
      </c>
      <c r="M87" s="126" t="str">
        <f>IFERROR(MATCH(F87, 'Lista de bosquejos'!B4:B197, 0), "¿?")</f>
        <v>¿?</v>
      </c>
      <c r="N87" s="128"/>
      <c r="O87" s="128"/>
      <c r="P87" s="130"/>
      <c r="Q87" s="131"/>
    </row>
    <row r="88" spans="1:17" ht="15.6" x14ac:dyDescent="0.3">
      <c r="A88" s="151"/>
      <c r="C88" s="167" t="s">
        <v>357</v>
      </c>
      <c r="D88" s="168"/>
      <c r="E88" s="162"/>
      <c r="F88" s="201"/>
      <c r="G88" s="166"/>
      <c r="H88" s="162"/>
      <c r="I88" s="143"/>
      <c r="J88" s="145"/>
      <c r="L88" s="125"/>
      <c r="M88" s="127"/>
      <c r="N88" s="129"/>
      <c r="O88" s="129"/>
      <c r="P88" s="132"/>
      <c r="Q88" s="133"/>
    </row>
    <row r="89" spans="1:17" ht="15.6" x14ac:dyDescent="0.3">
      <c r="A89" s="150">
        <v>5</v>
      </c>
      <c r="C89" s="153"/>
      <c r="D89" s="154"/>
      <c r="E89" s="155"/>
      <c r="F89" s="157"/>
      <c r="G89" s="158"/>
      <c r="H89" s="155"/>
      <c r="I89" s="186">
        <v>0.41666666666666702</v>
      </c>
      <c r="J89" s="120">
        <v>46222</v>
      </c>
      <c r="K89" t="str">
        <f>IF(F89 &lt;&gt; "", F89, _xlfn.XLOOKUP(E89, 'Lista de bosquejos'!A4:A197, 'Lista de bosquejos'!B4:B197, "Discurso no encontrado"))</f>
        <v>Discurso no encontrado</v>
      </c>
      <c r="L89" s="124" t="str">
        <f>IFERROR(IF(MATCH(F89, 'Lista de bosquejos'!B4:B197, 0), IF(AND(J89-INDEX('Lista de bosquejos'!D4:D197, MATCH(F89, 'Lista de bosquejos'!B4:B197, 0))&gt;1, J89-INDEX('Lista de bosquejos'!D4:D197, MATCH(F89, 'Lista de bosquejos'!B4:B197, 0))&lt;365), "Reciente", IF(J89=INDEX('Lista de bosquejos'!D4:D197, MATCH(F89, 'Lista de bosquejos'!B4:B197, 0)), "Listo", "No reciente")), "No encontrado"), "¡No encontrado!")</f>
        <v>¡No encontrado!</v>
      </c>
      <c r="M89" s="126" t="str">
        <f>IFERROR(MATCH(F89, 'Lista de bosquejos'!B4:B197, 0), "¿?")</f>
        <v>¿?</v>
      </c>
      <c r="N89" s="134"/>
      <c r="O89" s="134"/>
      <c r="P89" s="136"/>
      <c r="Q89" s="137"/>
    </row>
    <row r="90" spans="1:17" ht="15.6" x14ac:dyDescent="0.3">
      <c r="A90" s="151"/>
      <c r="C90" s="122" t="s">
        <v>357</v>
      </c>
      <c r="D90" s="123"/>
      <c r="E90" s="156"/>
      <c r="F90" s="159"/>
      <c r="G90" s="160"/>
      <c r="H90" s="156"/>
      <c r="I90" s="187"/>
      <c r="J90" s="121"/>
      <c r="L90" s="125"/>
      <c r="M90" s="127"/>
      <c r="N90" s="135"/>
      <c r="O90" s="135"/>
      <c r="P90" s="138"/>
      <c r="Q90" s="139"/>
    </row>
    <row r="91" spans="1:17" ht="15.6" x14ac:dyDescent="0.3">
      <c r="A91" s="150">
        <v>4</v>
      </c>
      <c r="C91" s="140"/>
      <c r="D91" s="141"/>
      <c r="E91" s="161"/>
      <c r="F91" s="192"/>
      <c r="G91" s="164"/>
      <c r="H91" s="161"/>
      <c r="I91" s="142">
        <v>0.41666666666666702</v>
      </c>
      <c r="J91" s="144">
        <v>46229</v>
      </c>
      <c r="K91" t="str">
        <f>IF(F91 &lt;&gt; "", F91, _xlfn.XLOOKUP(E91, 'Lista de bosquejos'!A4:A197, 'Lista de bosquejos'!B4:B197, "Discurso no encontrado"))</f>
        <v>Discurso no encontrado</v>
      </c>
      <c r="L91" s="124" t="str">
        <f>IFERROR(IF(MATCH(F91, 'Lista de bosquejos'!B4:B197, 0), IF(AND(J91-INDEX('Lista de bosquejos'!D4:D197, MATCH(F91, 'Lista de bosquejos'!B4:B197, 0))&gt;1, J91-INDEX('Lista de bosquejos'!D4:D197, MATCH(F91, 'Lista de bosquejos'!B4:B197, 0))&lt;365), "Reciente", IF(J91=INDEX('Lista de bosquejos'!D4:D197, MATCH(F91, 'Lista de bosquejos'!B4:B197, 0)), "Listo", "No reciente")), "No encontrado"), "¡No encontrado!")</f>
        <v>¡No encontrado!</v>
      </c>
      <c r="M91" s="126" t="str">
        <f>IFERROR(MATCH(F91, 'Lista de bosquejos'!B4:B197, 0), "¿?")</f>
        <v>¿?</v>
      </c>
      <c r="N91" s="128" t="s">
        <v>374</v>
      </c>
      <c r="O91" s="128"/>
      <c r="P91" s="130"/>
      <c r="Q91" s="131"/>
    </row>
    <row r="92" spans="1:17" ht="15.6" x14ac:dyDescent="0.3">
      <c r="A92" s="151"/>
      <c r="C92" s="167" t="s">
        <v>357</v>
      </c>
      <c r="D92" s="168"/>
      <c r="E92" s="162"/>
      <c r="F92" s="165"/>
      <c r="G92" s="166"/>
      <c r="H92" s="162"/>
      <c r="I92" s="143"/>
      <c r="J92" s="145"/>
      <c r="L92" s="125"/>
      <c r="M92" s="127"/>
      <c r="N92" s="129"/>
      <c r="O92" s="129"/>
      <c r="P92" s="132"/>
      <c r="Q92" s="133"/>
    </row>
    <row r="95" spans="1:17" ht="23.4" x14ac:dyDescent="0.45">
      <c r="A95" s="71" t="s">
        <v>416</v>
      </c>
      <c r="B95" s="237" t="s">
        <v>537</v>
      </c>
      <c r="C95" s="15"/>
      <c r="D95" s="16"/>
      <c r="E95" s="191" t="s">
        <v>368</v>
      </c>
      <c r="F95" s="191"/>
      <c r="G95" s="191"/>
      <c r="H95" s="16"/>
      <c r="I95" s="190"/>
      <c r="J95" s="190"/>
    </row>
    <row r="96" spans="1:17" ht="18" x14ac:dyDescent="0.35">
      <c r="A96" s="72" t="s">
        <v>417</v>
      </c>
      <c r="B96" s="238"/>
      <c r="C96" s="195" t="s">
        <v>307</v>
      </c>
      <c r="D96" s="195"/>
      <c r="E96" s="33" t="s">
        <v>337</v>
      </c>
      <c r="F96" s="184" t="s">
        <v>127</v>
      </c>
      <c r="G96" s="184"/>
      <c r="H96" s="13" t="s">
        <v>308</v>
      </c>
      <c r="I96" s="14" t="s">
        <v>313</v>
      </c>
      <c r="J96" s="69" t="s">
        <v>306</v>
      </c>
      <c r="L96" s="179" t="s">
        <v>399</v>
      </c>
      <c r="M96" s="180"/>
      <c r="N96" s="17" t="s">
        <v>314</v>
      </c>
      <c r="O96" s="17" t="s">
        <v>315</v>
      </c>
      <c r="P96" s="183" t="s">
        <v>316</v>
      </c>
      <c r="Q96" s="183"/>
    </row>
    <row r="97" spans="1:17" ht="15.6" x14ac:dyDescent="0.3">
      <c r="A97" s="150">
        <v>6</v>
      </c>
      <c r="C97" s="153"/>
      <c r="D97" s="185"/>
      <c r="E97" s="155"/>
      <c r="F97" s="157"/>
      <c r="G97" s="158"/>
      <c r="H97" s="155"/>
      <c r="I97" s="186">
        <v>0.41666666666666669</v>
      </c>
      <c r="J97" s="120">
        <v>46236</v>
      </c>
      <c r="K97" t="str">
        <f>IF(F97 &lt;&gt; "", F97, _xlfn.XLOOKUP(E97, 'Lista de bosquejos'!A4:A197, 'Lista de bosquejos'!B4:B197, "Discurso no encontrado"))</f>
        <v>Discurso no encontrado</v>
      </c>
      <c r="L97" s="124" t="str">
        <f>IFERROR(IF(MATCH(F97, 'Lista de bosquejos'!B4:B197, 0), IF(AND(J97-INDEX('Lista de bosquejos'!D4:D197, MATCH(F97, 'Lista de bosquejos'!B4:B197, 0))&gt;1, J97-INDEX('Lista de bosquejos'!D4:D197, MATCH(F97, 'Lista de bosquejos'!B4:B197, 0))&lt;365), "Reciente", IF(J97=INDEX('Lista de bosquejos'!D4:D197, MATCH(F97, 'Lista de bosquejos'!B4:B197, 0)), "Listo", "No reciente")), "No encontrado"), "¡No encontrado!")</f>
        <v>¡No encontrado!</v>
      </c>
      <c r="M97" s="126" t="str">
        <f>IFERROR(MATCH(F97, 'Lista de bosquejos'!B4:B197, 0), "¿?")</f>
        <v>¿?</v>
      </c>
      <c r="N97" s="134"/>
      <c r="O97" s="134"/>
      <c r="P97" s="136"/>
      <c r="Q97" s="137"/>
    </row>
    <row r="98" spans="1:17" ht="15.6" x14ac:dyDescent="0.3">
      <c r="A98" s="151"/>
      <c r="C98" s="122"/>
      <c r="D98" s="123"/>
      <c r="E98" s="156"/>
      <c r="F98" s="159"/>
      <c r="G98" s="160"/>
      <c r="H98" s="156"/>
      <c r="I98" s="187"/>
      <c r="J98" s="121"/>
      <c r="L98" s="125"/>
      <c r="M98" s="127"/>
      <c r="N98" s="135"/>
      <c r="O98" s="135"/>
      <c r="P98" s="138"/>
      <c r="Q98" s="139"/>
    </row>
    <row r="99" spans="1:17" ht="15.6" x14ac:dyDescent="0.3">
      <c r="A99" s="150">
        <v>1</v>
      </c>
      <c r="C99" s="169"/>
      <c r="D99" s="170"/>
      <c r="E99" s="161"/>
      <c r="F99" s="163"/>
      <c r="G99" s="164"/>
      <c r="H99" s="161"/>
      <c r="I99" s="142">
        <v>0.41666666666666669</v>
      </c>
      <c r="J99" s="144">
        <v>46243</v>
      </c>
      <c r="K99" t="str">
        <f>IF(F99 &lt;&gt; "", F99, _xlfn.XLOOKUP(E99, 'Lista de bosquejos'!A4:A197, 'Lista de bosquejos'!B4:B197, "Discurso no encontrado"))</f>
        <v>Discurso no encontrado</v>
      </c>
      <c r="L99" s="124" t="str">
        <f>IFERROR(IF(MATCH(F99, 'Lista de bosquejos'!B4:B197, 0), IF(AND(J99-INDEX('Lista de bosquejos'!D4:D197, MATCH(F99, 'Lista de bosquejos'!B4:B197, 0))&gt;1, J99-INDEX('Lista de bosquejos'!D4:D197, MATCH(F99, 'Lista de bosquejos'!B4:B197, 0))&lt;365), "Reciente", IF(J99=INDEX('Lista de bosquejos'!D4:D197, MATCH(F99, 'Lista de bosquejos'!B4:B197, 0)), "Listo", "No reciente")), "No encontrado"), "¡No encontrado!")</f>
        <v>¡No encontrado!</v>
      </c>
      <c r="M99" s="126" t="str">
        <f>IFERROR(MATCH(F99, 'Lista de bosquejos'!B4:B197, 0), "¿?")</f>
        <v>¿?</v>
      </c>
      <c r="N99" s="128"/>
      <c r="O99" s="128"/>
      <c r="P99" s="130"/>
      <c r="Q99" s="131"/>
    </row>
    <row r="100" spans="1:17" ht="15.6" x14ac:dyDescent="0.3">
      <c r="A100" s="151"/>
      <c r="C100" s="167"/>
      <c r="D100" s="171"/>
      <c r="E100" s="162"/>
      <c r="F100" s="165"/>
      <c r="G100" s="166"/>
      <c r="H100" s="162"/>
      <c r="I100" s="143"/>
      <c r="J100" s="145"/>
      <c r="L100" s="125"/>
      <c r="M100" s="127"/>
      <c r="N100" s="129"/>
      <c r="O100" s="129"/>
      <c r="P100" s="132"/>
      <c r="Q100" s="133"/>
    </row>
    <row r="101" spans="1:17" ht="15.6" x14ac:dyDescent="0.3">
      <c r="A101" s="150">
        <v>2</v>
      </c>
      <c r="C101" s="153"/>
      <c r="D101" s="154"/>
      <c r="E101" s="155"/>
      <c r="F101" s="172"/>
      <c r="G101" s="158"/>
      <c r="H101" s="155"/>
      <c r="I101" s="186">
        <v>0.41666666666666702</v>
      </c>
      <c r="J101" s="120">
        <v>46250</v>
      </c>
      <c r="K101" t="str">
        <f>IF(F101 &lt;&gt; "", F101, _xlfn.XLOOKUP(E101, 'Lista de bosquejos'!A4:A197, 'Lista de bosquejos'!B4:B197, "Discurso no encontrado"))</f>
        <v>Discurso no encontrado</v>
      </c>
      <c r="L101" s="124" t="str">
        <f>IFERROR(IF(MATCH(F101, 'Lista de bosquejos'!B4:B197, 0), IF(AND(J101-INDEX('Lista de bosquejos'!D4:D197, MATCH(F101, 'Lista de bosquejos'!B4:B197, 0))&gt;1, J101-INDEX('Lista de bosquejos'!D4:D197, MATCH(F101, 'Lista de bosquejos'!B4:B197, 0))&lt;365), "Reciente", IF(J101=INDEX('Lista de bosquejos'!D4:D197, MATCH(F101, 'Lista de bosquejos'!B4:B197, 0)), "Listo", "No reciente")), "No encontrado"), "¡No encontrado!")</f>
        <v>¡No encontrado!</v>
      </c>
      <c r="M101" s="126" t="str">
        <f>IFERROR(MATCH(F101, 'Lista de bosquejos'!B4:B197, 0), "¿?")</f>
        <v>¿?</v>
      </c>
      <c r="N101" s="134"/>
      <c r="O101" s="134"/>
      <c r="P101" s="136"/>
      <c r="Q101" s="137"/>
    </row>
    <row r="102" spans="1:17" ht="15.6" x14ac:dyDescent="0.3">
      <c r="A102" s="151"/>
      <c r="C102" s="122"/>
      <c r="D102" s="123"/>
      <c r="E102" s="156"/>
      <c r="F102" s="159"/>
      <c r="G102" s="160"/>
      <c r="H102" s="156"/>
      <c r="I102" s="187"/>
      <c r="J102" s="121"/>
      <c r="L102" s="125"/>
      <c r="M102" s="127"/>
      <c r="N102" s="135"/>
      <c r="O102" s="135"/>
      <c r="P102" s="138"/>
      <c r="Q102" s="139"/>
    </row>
    <row r="103" spans="1:17" ht="15.6" x14ac:dyDescent="0.3">
      <c r="A103" s="150">
        <v>3</v>
      </c>
      <c r="C103" s="140"/>
      <c r="D103" s="141"/>
      <c r="E103" s="161"/>
      <c r="F103" s="163"/>
      <c r="G103" s="164"/>
      <c r="H103" s="161"/>
      <c r="I103" s="142">
        <v>0.41666666666666702</v>
      </c>
      <c r="J103" s="144">
        <v>46257</v>
      </c>
      <c r="K103" t="str">
        <f>IF(F103 &lt;&gt; "", F103, _xlfn.XLOOKUP(E103, 'Lista de bosquejos'!A4:A197, 'Lista de bosquejos'!B4:B197, "Discurso no encontrado"))</f>
        <v>Discurso no encontrado</v>
      </c>
      <c r="L103" s="124" t="str">
        <f>IFERROR(IF(MATCH(F103, 'Lista de bosquejos'!B4:B197, 0), IF(AND(J103-INDEX('Lista de bosquejos'!D4:D197, MATCH(F103, 'Lista de bosquejos'!B4:B197, 0))&gt;1, J103-INDEX('Lista de bosquejos'!D4:D197, MATCH(F103, 'Lista de bosquejos'!B4:B197, 0))&lt;365), "Reciente", IF(J103=INDEX('Lista de bosquejos'!D4:D197, MATCH(F103, 'Lista de bosquejos'!B4:B197, 0)), "Listo", "No reciente")), "No encontrado"), "¡No encontrado!")</f>
        <v>¡No encontrado!</v>
      </c>
      <c r="M103" s="126" t="str">
        <f>IFERROR(MATCH(F103, 'Lista de bosquejos'!B4:B197, 0), "¿?")</f>
        <v>¿?</v>
      </c>
      <c r="N103" s="128" t="s">
        <v>374</v>
      </c>
      <c r="O103" s="128"/>
      <c r="P103" s="130"/>
      <c r="Q103" s="131"/>
    </row>
    <row r="104" spans="1:17" ht="15.6" x14ac:dyDescent="0.3">
      <c r="A104" s="151"/>
      <c r="C104" s="167"/>
      <c r="D104" s="168"/>
      <c r="E104" s="162"/>
      <c r="F104" s="165"/>
      <c r="G104" s="166"/>
      <c r="H104" s="162"/>
      <c r="I104" s="143"/>
      <c r="J104" s="145"/>
      <c r="L104" s="125"/>
      <c r="M104" s="127"/>
      <c r="N104" s="129"/>
      <c r="O104" s="129"/>
      <c r="P104" s="132"/>
      <c r="Q104" s="133"/>
    </row>
    <row r="105" spans="1:17" ht="15.6" x14ac:dyDescent="0.3">
      <c r="A105" s="152">
        <v>3</v>
      </c>
      <c r="C105" s="153"/>
      <c r="D105" s="154"/>
      <c r="E105" s="155"/>
      <c r="F105" s="157"/>
      <c r="G105" s="158"/>
      <c r="H105" s="155"/>
      <c r="I105" s="186">
        <v>0.41666666666666702</v>
      </c>
      <c r="J105" s="120">
        <v>46264</v>
      </c>
      <c r="K105" t="str">
        <f>IF(F105 &lt;&gt; "", F105, _xlfn.XLOOKUP(E105, 'Lista de bosquejos'!A4:A197, 'Lista de bosquejos'!B4:B197, "Discurso no encontrado"))</f>
        <v>Discurso no encontrado</v>
      </c>
      <c r="L105" s="124" t="str">
        <f>IFERROR(IF(MATCH(F105, 'Lista de bosquejos'!B6:B199, 0), IF(AND(J105-INDEX('Lista de bosquejos'!D6:D199, MATCH(F105, 'Lista de bosquejos'!B6:B199, 0))&gt;1, J105-INDEX('Lista de bosquejos'!D6:D199, MATCH(F105, 'Lista de bosquejos'!B6:B199, 0))&lt;365), "Reciente", IF(J105=INDEX('Lista de bosquejos'!D6:D199, MATCH(F105, 'Lista de bosquejos'!B6:B199, 0)), "Listo", "No reciente")), "No encontrado"), "¡No encontrado!")</f>
        <v>¡No encontrado!</v>
      </c>
      <c r="M105" s="126" t="str">
        <f>IFERROR(MATCH(F105, 'Lista de bosquejos'!B6:B199, 0), "¿?")</f>
        <v>¿?</v>
      </c>
      <c r="N105" s="128" t="s">
        <v>374</v>
      </c>
      <c r="O105" s="128"/>
      <c r="P105" s="130"/>
      <c r="Q105" s="131"/>
    </row>
    <row r="106" spans="1:17" ht="15.6" x14ac:dyDescent="0.3">
      <c r="A106" s="152"/>
      <c r="C106" s="122"/>
      <c r="D106" s="123"/>
      <c r="E106" s="156"/>
      <c r="F106" s="159"/>
      <c r="G106" s="160"/>
      <c r="H106" s="156"/>
      <c r="I106" s="187"/>
      <c r="J106" s="121"/>
      <c r="L106" s="125"/>
      <c r="M106" s="127"/>
      <c r="N106" s="129"/>
      <c r="O106" s="129"/>
      <c r="P106" s="132"/>
      <c r="Q106" s="133"/>
    </row>
    <row r="109" spans="1:17" ht="23.4" x14ac:dyDescent="0.45">
      <c r="A109" s="71" t="s">
        <v>416</v>
      </c>
      <c r="B109" s="237" t="s">
        <v>537</v>
      </c>
      <c r="C109" s="15"/>
      <c r="D109" s="16"/>
      <c r="E109" s="191" t="s">
        <v>369</v>
      </c>
      <c r="F109" s="191"/>
      <c r="G109" s="191"/>
      <c r="H109" s="16"/>
      <c r="I109" s="196"/>
      <c r="J109" s="190"/>
    </row>
    <row r="110" spans="1:17" ht="18" x14ac:dyDescent="0.35">
      <c r="A110" s="72" t="s">
        <v>417</v>
      </c>
      <c r="B110" s="238"/>
      <c r="C110" s="195" t="s">
        <v>307</v>
      </c>
      <c r="D110" s="195"/>
      <c r="E110" s="33" t="s">
        <v>337</v>
      </c>
      <c r="F110" s="184" t="s">
        <v>93</v>
      </c>
      <c r="G110" s="184"/>
      <c r="H110" s="13" t="s">
        <v>308</v>
      </c>
      <c r="I110" s="14" t="s">
        <v>313</v>
      </c>
      <c r="J110" s="69" t="s">
        <v>306</v>
      </c>
      <c r="L110" s="179" t="s">
        <v>399</v>
      </c>
      <c r="M110" s="180"/>
      <c r="N110" s="17" t="s">
        <v>314</v>
      </c>
      <c r="O110" s="17" t="s">
        <v>315</v>
      </c>
      <c r="P110" s="183" t="s">
        <v>316</v>
      </c>
      <c r="Q110" s="183"/>
    </row>
    <row r="111" spans="1:17" ht="15.6" customHeight="1" x14ac:dyDescent="0.3">
      <c r="A111" s="150">
        <v>6</v>
      </c>
      <c r="C111" s="153"/>
      <c r="D111" s="185"/>
      <c r="E111" s="155"/>
      <c r="F111" s="157"/>
      <c r="G111" s="158"/>
      <c r="H111" s="155"/>
      <c r="I111" s="186">
        <v>0.41666666666666669</v>
      </c>
      <c r="J111" s="120">
        <v>46271</v>
      </c>
      <c r="K111" t="str">
        <f>IF(F111 &lt;&gt; "", F111, _xlfn.XLOOKUP(E111, 'Lista de bosquejos'!A4:A197, 'Lista de bosquejos'!B4:B197, "Discurso no encontrado"))</f>
        <v>Discurso no encontrado</v>
      </c>
      <c r="L111" s="124" t="str">
        <f>IFERROR(IF(MATCH(F111, 'Lista de bosquejos'!B4:B197, 0), IF(AND(J111-INDEX('Lista de bosquejos'!D4:D197, MATCH(F111, 'Lista de bosquejos'!B4:B197, 0))&gt;1, J111-INDEX('Lista de bosquejos'!D4:D197, MATCH(F111, 'Lista de bosquejos'!B4:B197, 0))&lt;365), "Reciente", IF(J111=INDEX('Lista de bosquejos'!D4:D197, MATCH(F111, 'Lista de bosquejos'!B4:B197, 0)), "Listo", "No reciente")), "No encontrado"), "¡No encontrado!")</f>
        <v>¡No encontrado!</v>
      </c>
      <c r="M111" s="181" t="str">
        <f>IFERROR(MATCH(F111, 'Lista de bosquejos'!B4:B197, 0), "¿?")</f>
        <v>¿?</v>
      </c>
      <c r="N111" s="207"/>
      <c r="O111" s="134"/>
      <c r="P111" s="136"/>
      <c r="Q111" s="137"/>
    </row>
    <row r="112" spans="1:17" ht="15.6" customHeight="1" x14ac:dyDescent="0.3">
      <c r="A112" s="151"/>
      <c r="C112" s="122"/>
      <c r="D112" s="123"/>
      <c r="E112" s="156"/>
      <c r="F112" s="159"/>
      <c r="G112" s="160"/>
      <c r="H112" s="156"/>
      <c r="I112" s="187"/>
      <c r="J112" s="121"/>
      <c r="L112" s="125"/>
      <c r="M112" s="182"/>
      <c r="N112" s="209"/>
      <c r="O112" s="135"/>
      <c r="P112" s="138"/>
      <c r="Q112" s="139"/>
    </row>
    <row r="113" spans="1:18" ht="15.6" customHeight="1" x14ac:dyDescent="0.3">
      <c r="A113" s="150">
        <v>1</v>
      </c>
      <c r="C113" s="169"/>
      <c r="D113" s="170"/>
      <c r="E113" s="161"/>
      <c r="F113" s="163"/>
      <c r="G113" s="164"/>
      <c r="H113" s="161"/>
      <c r="I113" s="142">
        <v>0.41666666666666669</v>
      </c>
      <c r="J113" s="144">
        <v>46278</v>
      </c>
      <c r="K113" t="str">
        <f>IF(F113 &lt;&gt; "", F113, _xlfn.XLOOKUP(E113, 'Lista de bosquejos'!A4:A197, 'Lista de bosquejos'!B4:B197, "Discurso no encontrado"))</f>
        <v>Discurso no encontrado</v>
      </c>
      <c r="L113" s="124" t="str">
        <f>IFERROR(IF(MATCH(F113, 'Lista de bosquejos'!B4:B197, 0), IF(AND(J113-INDEX('Lista de bosquejos'!D4:D197, MATCH(F113, 'Lista de bosquejos'!B4:B197, 0))&gt;1, J113-INDEX('Lista de bosquejos'!D4:D197, MATCH(F113, 'Lista de bosquejos'!B4:B197, 0))&lt;365), "Reciente", IF(J113=INDEX('Lista de bosquejos'!D4:D197, MATCH(F113, 'Lista de bosquejos'!B4:B197, 0)), "Listo", "No reciente")), "No encontrado"), "¡No encontrado!")</f>
        <v>¡No encontrado!</v>
      </c>
      <c r="M113" s="181" t="str">
        <f>IFERROR(MATCH(F113, 'Lista de bosquejos'!B4:B197, 0), "¿?")</f>
        <v>¿?</v>
      </c>
      <c r="N113" s="193"/>
      <c r="O113" s="128"/>
      <c r="P113" s="130"/>
      <c r="Q113" s="131"/>
    </row>
    <row r="114" spans="1:18" ht="15.6" customHeight="1" x14ac:dyDescent="0.3">
      <c r="A114" s="151"/>
      <c r="C114" s="167"/>
      <c r="D114" s="171"/>
      <c r="E114" s="162"/>
      <c r="F114" s="165"/>
      <c r="G114" s="166"/>
      <c r="H114" s="162"/>
      <c r="I114" s="143"/>
      <c r="J114" s="145"/>
      <c r="L114" s="125"/>
      <c r="M114" s="182"/>
      <c r="N114" s="194"/>
      <c r="O114" s="129"/>
      <c r="P114" s="132"/>
      <c r="Q114" s="133"/>
    </row>
    <row r="115" spans="1:18" ht="15.6" customHeight="1" x14ac:dyDescent="0.3">
      <c r="A115" s="150">
        <v>2</v>
      </c>
      <c r="C115" s="153"/>
      <c r="D115" s="154"/>
      <c r="E115" s="155"/>
      <c r="F115" s="157"/>
      <c r="G115" s="158"/>
      <c r="H115" s="155"/>
      <c r="I115" s="186">
        <v>0.41666666666666702</v>
      </c>
      <c r="J115" s="120">
        <v>46285</v>
      </c>
      <c r="K115" t="str">
        <f>IF(F115 &lt;&gt; "", F115, _xlfn.XLOOKUP(E115, 'Lista de bosquejos'!A4:A197, 'Lista de bosquejos'!B4:B197, "Discurso no encontrado"))</f>
        <v>Discurso no encontrado</v>
      </c>
      <c r="L115" s="124" t="str">
        <f>IFERROR(IF(MATCH(F115, 'Lista de bosquejos'!B4:B197, 0), IF(AND(J115-INDEX('Lista de bosquejos'!D4:D197, MATCH(F115, 'Lista de bosquejos'!B4:B197, 0))&gt;1, J115-INDEX('Lista de bosquejos'!D4:D197, MATCH(F115, 'Lista de bosquejos'!B4:B197, 0))&lt;365), "Reciente", IF(J115=INDEX('Lista de bosquejos'!D4:D197, MATCH(F115, 'Lista de bosquejos'!B4:B197, 0)), "Listo", "No reciente")), "No encontrado"), "¡No encontrado!")</f>
        <v>¡No encontrado!</v>
      </c>
      <c r="M115" s="181" t="str">
        <f>IFERROR(MATCH(F115, 'Lista de bosquejos'!B4:B197, 0), "¿?")</f>
        <v>¿?</v>
      </c>
      <c r="N115" s="207"/>
      <c r="O115" s="134"/>
      <c r="P115" s="136"/>
      <c r="Q115" s="137"/>
    </row>
    <row r="116" spans="1:18" ht="15.6" customHeight="1" x14ac:dyDescent="0.3">
      <c r="A116" s="151"/>
      <c r="C116" s="122"/>
      <c r="D116" s="123"/>
      <c r="E116" s="156"/>
      <c r="F116" s="159"/>
      <c r="G116" s="160"/>
      <c r="H116" s="156"/>
      <c r="I116" s="187"/>
      <c r="J116" s="121"/>
      <c r="L116" s="125"/>
      <c r="M116" s="182"/>
      <c r="N116" s="209"/>
      <c r="O116" s="135"/>
      <c r="P116" s="138"/>
      <c r="Q116" s="139"/>
    </row>
    <row r="117" spans="1:18" ht="15.6" customHeight="1" x14ac:dyDescent="0.3">
      <c r="A117" s="150">
        <v>3</v>
      </c>
      <c r="C117" s="140"/>
      <c r="D117" s="141"/>
      <c r="E117" s="161"/>
      <c r="F117" s="192"/>
      <c r="G117" s="164"/>
      <c r="H117" s="161"/>
      <c r="I117" s="142">
        <v>0.41666666666666702</v>
      </c>
      <c r="J117" s="144">
        <v>46292</v>
      </c>
      <c r="K117" t="str">
        <f>IF(F117 &lt;&gt; "", F117, _xlfn.XLOOKUP(E117, 'Lista de bosquejos'!A4:A197, 'Lista de bosquejos'!B4:B197, "Discurso no encontrado"))</f>
        <v>Discurso no encontrado</v>
      </c>
      <c r="L117" s="124" t="str">
        <f>IFERROR(IF(MATCH(F117, 'Lista de bosquejos'!B8:B201, 0), IF(AND(J117-INDEX('Lista de bosquejos'!D4:D197, MATCH(F117, 'Lista de bosquejos'!B8:B201, 0))&gt;1, J117-INDEX('Lista de bosquejos'!D4:D197, MATCH(F117, 'Lista de bosquejos'!B4:B197, 0))&lt;365), "Reciente", IF(J117=INDEX('Lista de bosquejos'!D4:D197, MATCH(F117, 'Lista de bosquejos'!B8:B201, 0)), "Listo", "No reciente")), "No encontrado"), "¡No encontrado!")</f>
        <v>¡No encontrado!</v>
      </c>
      <c r="M117" s="181" t="str">
        <f>IFERROR(MATCH(F117, 'Lista de bosquejos'!B4:B197, 0), "¿?")</f>
        <v>¿?</v>
      </c>
      <c r="N117" s="193" t="s">
        <v>374</v>
      </c>
      <c r="O117" s="128"/>
      <c r="P117" s="130"/>
      <c r="Q117" s="131"/>
    </row>
    <row r="118" spans="1:18" ht="15.6" customHeight="1" x14ac:dyDescent="0.3">
      <c r="A118" s="151"/>
      <c r="C118" s="167"/>
      <c r="D118" s="168"/>
      <c r="E118" s="162"/>
      <c r="F118" s="165"/>
      <c r="G118" s="166"/>
      <c r="H118" s="162"/>
      <c r="I118" s="143"/>
      <c r="J118" s="145"/>
      <c r="L118" s="125"/>
      <c r="M118" s="182"/>
      <c r="N118" s="194"/>
      <c r="O118" s="129"/>
      <c r="P118" s="132"/>
      <c r="Q118" s="133"/>
    </row>
    <row r="121" spans="1:18" ht="23.4" x14ac:dyDescent="0.45">
      <c r="A121" s="71" t="s">
        <v>416</v>
      </c>
      <c r="B121" s="237" t="s">
        <v>537</v>
      </c>
      <c r="C121" s="15"/>
      <c r="D121" s="16"/>
      <c r="E121" s="191" t="s">
        <v>370</v>
      </c>
      <c r="F121" s="191"/>
      <c r="G121" s="191"/>
      <c r="H121" s="16"/>
      <c r="I121" s="190"/>
      <c r="J121" s="190"/>
    </row>
    <row r="122" spans="1:18" ht="18" x14ac:dyDescent="0.35">
      <c r="A122" s="72" t="s">
        <v>417</v>
      </c>
      <c r="B122" s="238"/>
      <c r="C122" s="195" t="s">
        <v>307</v>
      </c>
      <c r="D122" s="195"/>
      <c r="E122" s="33" t="s">
        <v>337</v>
      </c>
      <c r="F122" s="184" t="s">
        <v>127</v>
      </c>
      <c r="G122" s="184"/>
      <c r="H122" s="13" t="s">
        <v>308</v>
      </c>
      <c r="I122" s="14" t="s">
        <v>313</v>
      </c>
      <c r="J122" s="69" t="s">
        <v>306</v>
      </c>
      <c r="L122" s="179" t="s">
        <v>399</v>
      </c>
      <c r="M122" s="180"/>
      <c r="N122" s="70" t="s">
        <v>314</v>
      </c>
      <c r="O122" s="17" t="s">
        <v>315</v>
      </c>
      <c r="P122" s="183" t="s">
        <v>316</v>
      </c>
      <c r="Q122" s="183"/>
      <c r="R122" s="7"/>
    </row>
    <row r="123" spans="1:18" ht="15.6" customHeight="1" x14ac:dyDescent="0.3">
      <c r="A123" s="150">
        <v>6</v>
      </c>
      <c r="C123" s="153"/>
      <c r="D123" s="185"/>
      <c r="E123" s="155"/>
      <c r="F123" s="157"/>
      <c r="G123" s="158"/>
      <c r="H123" s="155"/>
      <c r="I123" s="186">
        <v>0.41666666666666669</v>
      </c>
      <c r="J123" s="120">
        <v>46299</v>
      </c>
      <c r="K123" t="str">
        <f>IF(F123 &lt;&gt; "", F123, _xlfn.XLOOKUP(E123, 'Lista de bosquejos'!A4:A197, 'Lista de bosquejos'!B4:B197, "Discurso no encontrado"))</f>
        <v>Discurso no encontrado</v>
      </c>
      <c r="L123" s="124" t="str">
        <f>IFERROR(IF(MATCH(F123, 'Lista de bosquejos'!B4:B197, 0), IF(AND(J123-INDEX('Lista de bosquejos'!D4:D197, MATCH(F123, 'Lista de bosquejos'!B4:B197, 0))&gt;1, J123-INDEX('Lista de bosquejos'!D4:D197, MATCH(F123, 'Lista de bosquejos'!B4:B197, 0))&lt;365), "Reciente", IF(J123=INDEX('Lista de bosquejos'!D4:D197, MATCH(F123, 'Lista de bosquejos'!B4:B197, 0)), "Listo", "No reciente")), "No encontrado"), "¡No encontrado!")</f>
        <v>¡No encontrado!</v>
      </c>
      <c r="M123" s="181" t="str">
        <f>IFERROR(MATCH(F123, 'Lista de bosquejos'!B4:B197, 0), "¿?")</f>
        <v>¿?</v>
      </c>
      <c r="N123" s="134"/>
      <c r="O123" s="134"/>
      <c r="P123" s="136"/>
      <c r="Q123" s="137"/>
      <c r="R123" s="210"/>
    </row>
    <row r="124" spans="1:18" ht="15.6" customHeight="1" x14ac:dyDescent="0.3">
      <c r="A124" s="151"/>
      <c r="C124" s="122"/>
      <c r="D124" s="123"/>
      <c r="E124" s="156"/>
      <c r="F124" s="159"/>
      <c r="G124" s="160"/>
      <c r="H124" s="156"/>
      <c r="I124" s="187"/>
      <c r="J124" s="121"/>
      <c r="L124" s="125"/>
      <c r="M124" s="182"/>
      <c r="N124" s="135"/>
      <c r="O124" s="135"/>
      <c r="P124" s="138"/>
      <c r="Q124" s="139"/>
      <c r="R124" s="211"/>
    </row>
    <row r="125" spans="1:18" ht="15.6" customHeight="1" x14ac:dyDescent="0.3">
      <c r="A125" s="150">
        <v>1</v>
      </c>
      <c r="C125" s="169"/>
      <c r="D125" s="170"/>
      <c r="E125" s="161"/>
      <c r="F125" s="163"/>
      <c r="G125" s="164"/>
      <c r="H125" s="161"/>
      <c r="I125" s="142">
        <v>0.41666666666666669</v>
      </c>
      <c r="J125" s="144">
        <v>46306</v>
      </c>
      <c r="K125" t="str">
        <f>IF(F125 &lt;&gt; "", F125, _xlfn.XLOOKUP(E125, 'Lista de bosquejos'!A4:A197, 'Lista de bosquejos'!B4:B197, "Discurso no encontrado"))</f>
        <v>Discurso no encontrado</v>
      </c>
      <c r="L125" s="124" t="str">
        <f>IFERROR(IF(MATCH(F125, 'Lista de bosquejos'!B4:B197, 0), IF(AND(J125-INDEX('Lista de bosquejos'!D4:D197, MATCH(F125, 'Lista de bosquejos'!B4:B197, 0))&gt;1, J125-INDEX('Lista de bosquejos'!D4:D197, MATCH(F125, 'Lista de bosquejos'!B4:B197, 0))&lt;365), "Reciente", IF(J125=INDEX('Lista de bosquejos'!D4:D197, MATCH(F125, 'Lista de bosquejos'!B4:B197, 0)), "Listo", "No reciente")), "No encontrado"), "¡No encontrado!")</f>
        <v>¡No encontrado!</v>
      </c>
      <c r="M125" s="126" t="str">
        <f>IFERROR(MATCH(F125, 'Lista de bosquejos'!B4:B197, 0), "¿?")</f>
        <v>¿?</v>
      </c>
      <c r="N125" s="230"/>
      <c r="O125" s="193"/>
      <c r="P125" s="130"/>
      <c r="Q125" s="131"/>
      <c r="R125" s="210"/>
    </row>
    <row r="126" spans="1:18" ht="15.6" customHeight="1" x14ac:dyDescent="0.3">
      <c r="A126" s="151"/>
      <c r="C126" s="167"/>
      <c r="D126" s="171"/>
      <c r="E126" s="162"/>
      <c r="F126" s="165"/>
      <c r="G126" s="166"/>
      <c r="H126" s="162"/>
      <c r="I126" s="143"/>
      <c r="J126" s="145"/>
      <c r="L126" s="125"/>
      <c r="M126" s="127"/>
      <c r="N126" s="230"/>
      <c r="O126" s="194"/>
      <c r="P126" s="132"/>
      <c r="Q126" s="133"/>
      <c r="R126" s="211"/>
    </row>
    <row r="127" spans="1:18" ht="15.6" customHeight="1" x14ac:dyDescent="0.3">
      <c r="A127" s="150">
        <v>2</v>
      </c>
      <c r="C127" s="153"/>
      <c r="D127" s="154"/>
      <c r="E127" s="155"/>
      <c r="F127" s="157"/>
      <c r="G127" s="158"/>
      <c r="H127" s="155"/>
      <c r="I127" s="186">
        <v>0.41666666666666702</v>
      </c>
      <c r="J127" s="120">
        <v>46313</v>
      </c>
      <c r="K127" t="str">
        <f>IF(F127 &lt;&gt; "", F127, _xlfn.XLOOKUP(E127, 'Lista de bosquejos'!A4:A197, 'Lista de bosquejos'!B4:B197, "Discurso no encontrado"))</f>
        <v>Discurso no encontrado</v>
      </c>
      <c r="L127" s="124" t="str">
        <f>IFERROR(IF(MATCH(F127, 'Lista de bosquejos'!B4:B197, 0), IF(AND(J127-INDEX('Lista de bosquejos'!D4:D197, MATCH(F127, 'Lista de bosquejos'!B4:B197, 0))&gt;1, J127-INDEX('Lista de bosquejos'!D4:D197, MATCH(F127, 'Lista de bosquejos'!B4:B197, 0))&lt;365), "Reciente", IF(J127=INDEX('Lista de bosquejos'!D4:D197, MATCH(F127, 'Lista de bosquejos'!B4:B197, 0)), "Listo", "No reciente")), "No encontrado"), "¡No encontrado!")</f>
        <v>¡No encontrado!</v>
      </c>
      <c r="M127" s="126" t="str">
        <f>IFERROR(MATCH(F127, 'Lista de bosquejos'!B4:B197, 0), "¿?")</f>
        <v>¿?</v>
      </c>
      <c r="N127" s="231"/>
      <c r="O127" s="207"/>
      <c r="P127" s="136"/>
      <c r="Q127" s="137"/>
      <c r="R127" s="210"/>
    </row>
    <row r="128" spans="1:18" ht="15.6" customHeight="1" x14ac:dyDescent="0.3">
      <c r="A128" s="151"/>
      <c r="C128" s="122"/>
      <c r="D128" s="123"/>
      <c r="E128" s="156"/>
      <c r="F128" s="159"/>
      <c r="G128" s="160"/>
      <c r="H128" s="156"/>
      <c r="I128" s="187"/>
      <c r="J128" s="121"/>
      <c r="L128" s="125"/>
      <c r="M128" s="127"/>
      <c r="N128" s="231"/>
      <c r="O128" s="209"/>
      <c r="P128" s="138"/>
      <c r="Q128" s="139"/>
      <c r="R128" s="211"/>
    </row>
    <row r="129" spans="1:18" ht="15.6" customHeight="1" x14ac:dyDescent="0.3">
      <c r="A129" s="150">
        <v>3</v>
      </c>
      <c r="C129" s="140"/>
      <c r="D129" s="141"/>
      <c r="E129" s="161"/>
      <c r="F129" s="163"/>
      <c r="G129" s="164"/>
      <c r="H129" s="161"/>
      <c r="I129" s="142">
        <v>0.41666666666666702</v>
      </c>
      <c r="J129" s="144">
        <v>46320</v>
      </c>
      <c r="K129" t="str">
        <f>IF(F129 &lt;&gt; "", F129, _xlfn.XLOOKUP(E129, 'Lista de bosquejos'!A4:A197, 'Lista de bosquejos'!B4:B197, "Discurso no encontrado"))</f>
        <v>Discurso no encontrado</v>
      </c>
      <c r="L129" s="124" t="str">
        <f>IFERROR(IF(MATCH(F129, 'Lista de bosquejos'!B4:B197, 0), IF(AND(J129-INDEX('Lista de bosquejos'!D4:D197, MATCH(F129, 'Lista de bosquejos'!B4:B197, 0))&gt;1, J129-INDEX('Lista de bosquejos'!D4:D197, MATCH(F129, 'Lista de bosquejos'!B4:B197, 0))&lt;365), "Reciente", IF(J129=INDEX('Lista de bosquejos'!D4:D197, MATCH(F129, 'Lista de bosquejos'!B4:B197, 0)), "Listo", "No reciente")), "No encontrado"), "¡No encontrado!")</f>
        <v>¡No encontrado!</v>
      </c>
      <c r="M129" s="126" t="str">
        <f>IFERROR(MATCH(F129, 'Lista de bosquejos'!B4:B197, 0), "¿?")</f>
        <v>¿?</v>
      </c>
      <c r="N129" s="230" t="s">
        <v>374</v>
      </c>
      <c r="O129" s="193"/>
      <c r="P129" s="130"/>
      <c r="Q129" s="131"/>
      <c r="R129" s="210"/>
    </row>
    <row r="130" spans="1:18" ht="15.6" customHeight="1" x14ac:dyDescent="0.3">
      <c r="A130" s="151"/>
      <c r="C130" s="167"/>
      <c r="D130" s="168"/>
      <c r="E130" s="162"/>
      <c r="F130" s="165"/>
      <c r="G130" s="166"/>
      <c r="H130" s="162"/>
      <c r="I130" s="143"/>
      <c r="J130" s="145"/>
      <c r="L130" s="125"/>
      <c r="M130" s="127"/>
      <c r="N130" s="230"/>
      <c r="O130" s="194"/>
      <c r="P130" s="132"/>
      <c r="Q130" s="133"/>
      <c r="R130" s="211"/>
    </row>
    <row r="133" spans="1:18" ht="23.4" x14ac:dyDescent="0.45">
      <c r="A133" s="71" t="s">
        <v>416</v>
      </c>
      <c r="B133" s="237" t="s">
        <v>537</v>
      </c>
      <c r="C133" s="15"/>
      <c r="D133" s="16"/>
      <c r="E133" s="191" t="s">
        <v>371</v>
      </c>
      <c r="F133" s="191"/>
      <c r="G133" s="191"/>
      <c r="H133" s="16"/>
      <c r="I133" s="190"/>
      <c r="J133" s="190"/>
      <c r="L133" s="8"/>
      <c r="M133" s="8"/>
    </row>
    <row r="134" spans="1:18" ht="18" x14ac:dyDescent="0.35">
      <c r="A134" s="72" t="s">
        <v>417</v>
      </c>
      <c r="B134" s="238"/>
      <c r="C134" s="195" t="s">
        <v>307</v>
      </c>
      <c r="D134" s="195"/>
      <c r="E134" s="33" t="s">
        <v>337</v>
      </c>
      <c r="F134" s="184" t="s">
        <v>127</v>
      </c>
      <c r="G134" s="184"/>
      <c r="H134" s="13" t="s">
        <v>308</v>
      </c>
      <c r="I134" s="14" t="s">
        <v>313</v>
      </c>
      <c r="J134" s="69" t="s">
        <v>306</v>
      </c>
      <c r="L134" s="179" t="s">
        <v>399</v>
      </c>
      <c r="M134" s="180"/>
      <c r="N134" s="17" t="s">
        <v>314</v>
      </c>
      <c r="O134" s="17" t="s">
        <v>315</v>
      </c>
      <c r="P134" s="183" t="s">
        <v>316</v>
      </c>
      <c r="Q134" s="183"/>
    </row>
    <row r="135" spans="1:18" ht="15.6" x14ac:dyDescent="0.3">
      <c r="A135" s="150">
        <v>6</v>
      </c>
      <c r="C135" s="153"/>
      <c r="D135" s="185"/>
      <c r="E135" s="155"/>
      <c r="F135" s="157"/>
      <c r="G135" s="158"/>
      <c r="H135" s="155"/>
      <c r="I135" s="186">
        <v>0.41666666666666669</v>
      </c>
      <c r="J135" s="120">
        <v>46327</v>
      </c>
      <c r="K135" t="str">
        <f>IF(F135 &lt;&gt; "", F135, _xlfn.XLOOKUP(E135, 'Lista de bosquejos'!A4:A197, 'Lista de bosquejos'!B4:B197, "Discurso no encontrado"))</f>
        <v>Discurso no encontrado</v>
      </c>
      <c r="L135" s="124" t="str">
        <f>IFERROR(IF(MATCH(F135, 'Lista de bosquejos'!B4:B197, 0), IF(AND(J135-INDEX('Lista de bosquejos'!D4:D197, MATCH(F135, 'Lista de bosquejos'!B4:B197, 0))&gt;1, J135-INDEX('Lista de bosquejos'!D4:D197, MATCH(F135, 'Lista de bosquejos'!B4:B197, 0))&lt;365), "Reciente", IF(J135=INDEX('Lista de bosquejos'!D4:D197, MATCH(F135, 'Lista de bosquejos'!B4:B197, 0)), "Listo", "No reciente")), "No encontrado"), "¡No encontrado!")</f>
        <v>¡No encontrado!</v>
      </c>
      <c r="M135" s="126" t="str">
        <f>IFERROR(MATCH(F135, 'Lista de bosquejos'!B4:B197, 0), "¿?")</f>
        <v>¿?</v>
      </c>
      <c r="N135" s="134"/>
      <c r="O135" s="134"/>
      <c r="P135" s="136"/>
      <c r="Q135" s="137"/>
    </row>
    <row r="136" spans="1:18" ht="15.6" x14ac:dyDescent="0.3">
      <c r="A136" s="151"/>
      <c r="C136" s="122"/>
      <c r="D136" s="123"/>
      <c r="E136" s="156"/>
      <c r="F136" s="159"/>
      <c r="G136" s="160"/>
      <c r="H136" s="156"/>
      <c r="I136" s="187"/>
      <c r="J136" s="121"/>
      <c r="L136" s="125"/>
      <c r="M136" s="127"/>
      <c r="N136" s="135"/>
      <c r="O136" s="135"/>
      <c r="P136" s="138"/>
      <c r="Q136" s="139"/>
    </row>
    <row r="137" spans="1:18" ht="15.6" x14ac:dyDescent="0.3">
      <c r="A137" s="150"/>
      <c r="B137">
        <v>5</v>
      </c>
      <c r="C137" s="169"/>
      <c r="D137" s="170"/>
      <c r="E137" s="161"/>
      <c r="F137" s="192"/>
      <c r="G137" s="164"/>
      <c r="H137" s="161"/>
      <c r="I137" s="142">
        <v>0.41666666666666669</v>
      </c>
      <c r="J137" s="144">
        <v>46334</v>
      </c>
      <c r="K137" t="str">
        <f>IF(F137 &lt;&gt; "", F137, _xlfn.XLOOKUP(E137, 'Lista de bosquejos'!A4:A197, 'Lista de bosquejos'!B4:B197, "Discurso no encontrado"))</f>
        <v>Discurso no encontrado</v>
      </c>
      <c r="L137" s="124" t="str">
        <f>IFERROR(IF(MATCH(F137, 'Lista de bosquejos'!B4:B197, 0), IF(AND(J137-INDEX('Lista de bosquejos'!D4:D197, MATCH(F137, 'Lista de bosquejos'!B4:B197, 0))&gt;1, J137-INDEX('Lista de bosquejos'!D4:D197, MATCH(F137, 'Lista de bosquejos'!B4:B197, 0))&lt;365), "Reciente", IF(J137=INDEX('Lista de bosquejos'!D4:D197, MATCH(F137, 'Lista de bosquejos'!B4:B197, 0)), "Listo", "No reciente")), "No encontrado"), "¡No encontrado!")</f>
        <v>¡No encontrado!</v>
      </c>
      <c r="M137" s="126" t="str">
        <f>IFERROR(MATCH(F137, 'Lista de bosquejos'!B4:B197, 0), "¿?")</f>
        <v>¿?</v>
      </c>
      <c r="N137" s="128"/>
      <c r="O137" s="128"/>
      <c r="P137" s="130"/>
      <c r="Q137" s="131"/>
    </row>
    <row r="138" spans="1:18" ht="15.6" x14ac:dyDescent="0.3">
      <c r="A138" s="151"/>
      <c r="C138" s="167"/>
      <c r="D138" s="171"/>
      <c r="E138" s="162"/>
      <c r="F138" s="165"/>
      <c r="G138" s="166"/>
      <c r="H138" s="162"/>
      <c r="I138" s="143"/>
      <c r="J138" s="145"/>
      <c r="L138" s="125"/>
      <c r="M138" s="127"/>
      <c r="N138" s="129"/>
      <c r="O138" s="129"/>
      <c r="P138" s="132"/>
      <c r="Q138" s="133"/>
    </row>
    <row r="139" spans="1:18" ht="15.6" customHeight="1" x14ac:dyDescent="0.3">
      <c r="A139" s="150">
        <v>1</v>
      </c>
      <c r="B139">
        <v>6</v>
      </c>
      <c r="C139" s="153"/>
      <c r="D139" s="154"/>
      <c r="E139" s="155"/>
      <c r="F139" s="157"/>
      <c r="G139" s="158"/>
      <c r="H139" s="155"/>
      <c r="I139" s="186">
        <v>0.41666666666666702</v>
      </c>
      <c r="J139" s="120">
        <v>46341</v>
      </c>
      <c r="K139" t="str">
        <f>IF(F139 &lt;&gt; "", F139, _xlfn.XLOOKUP(E139, 'Lista de bosquejos'!A4:A197, 'Lista de bosquejos'!B4:B197, "Discurso no encontrado"))</f>
        <v>Discurso no encontrado</v>
      </c>
      <c r="L139" s="124" t="str">
        <f>IFERROR(IF(MATCH(F139, 'Lista de bosquejos'!B4:B197, 0), IF(AND(J139-INDEX('Lista de bosquejos'!D4:D197, MATCH(F139, 'Lista de bosquejos'!B4:B197, 0))&gt;1, J139-INDEX('Lista de bosquejos'!D4:D197, MATCH(F139, 'Lista de bosquejos'!B4:B197, 0))&lt;365), "Reciente", IF(J139=INDEX('Lista de bosquejos'!D4:D197, MATCH(F139, 'Lista de bosquejos'!B4:B197, 0)), "Listo", "No reciente")), "No encontrado"), "¡No encontrado!")</f>
        <v>¡No encontrado!</v>
      </c>
      <c r="M139" s="126" t="str">
        <f>IFERROR(MATCH(F139, 'Lista de bosquejos'!B4:B197, 0), "¿?")</f>
        <v>¿?</v>
      </c>
      <c r="N139" s="134"/>
      <c r="O139" s="134"/>
      <c r="P139" s="136"/>
      <c r="Q139" s="137"/>
    </row>
    <row r="140" spans="1:18" ht="15.6" customHeight="1" x14ac:dyDescent="0.3">
      <c r="A140" s="151"/>
      <c r="C140" s="122"/>
      <c r="D140" s="123"/>
      <c r="E140" s="156"/>
      <c r="F140" s="159"/>
      <c r="G140" s="160"/>
      <c r="H140" s="156"/>
      <c r="I140" s="187"/>
      <c r="J140" s="121"/>
      <c r="L140" s="125"/>
      <c r="M140" s="127"/>
      <c r="N140" s="135"/>
      <c r="O140" s="135"/>
      <c r="P140" s="138"/>
      <c r="Q140" s="139"/>
    </row>
    <row r="141" spans="1:18" ht="15.6" customHeight="1" x14ac:dyDescent="0.3">
      <c r="A141" s="150">
        <v>2</v>
      </c>
      <c r="B141">
        <v>1</v>
      </c>
      <c r="C141" s="140"/>
      <c r="D141" s="141"/>
      <c r="E141" s="161"/>
      <c r="F141" s="163"/>
      <c r="G141" s="164"/>
      <c r="H141" s="161"/>
      <c r="I141" s="142">
        <v>0.41666666666666702</v>
      </c>
      <c r="J141" s="144">
        <v>46348</v>
      </c>
      <c r="K141" t="str">
        <f>IF(F141 &lt;&gt; "", F141, _xlfn.XLOOKUP(E141, 'Lista de bosquejos'!A4:A197, 'Lista de bosquejos'!B4:B197, "Discurso no encontrado"))</f>
        <v>Discurso no encontrado</v>
      </c>
      <c r="L141" s="124" t="str">
        <f>IFERROR(IF(MATCH(F141, 'Lista de bosquejos'!B4:B197, 0), IF(AND(J141-INDEX('Lista de bosquejos'!D4:D197, MATCH(F141, 'Lista de bosquejos'!B4:B197, 0))&gt;1, J141-INDEX('Lista de bosquejos'!D4:D197, MATCH(F141, 'Lista de bosquejos'!B4:B197, 0))&lt;365), "Reciente", IF(J141=INDEX('Lista de bosquejos'!D4:D197, MATCH(F141, 'Lista de bosquejos'!B4:B197, 0)), "Listo", "No reciente")), "No encontrado"), "¡No encontrado!")</f>
        <v>¡No encontrado!</v>
      </c>
      <c r="M141" s="126" t="str">
        <f>IFERROR(MATCH(F141, 'Lista de bosquejos'!B4:B197, 0), "¿?")</f>
        <v>¿?</v>
      </c>
      <c r="N141" s="128" t="s">
        <v>374</v>
      </c>
      <c r="O141" s="128"/>
      <c r="P141" s="130"/>
      <c r="Q141" s="131"/>
    </row>
    <row r="142" spans="1:18" ht="15.6" customHeight="1" x14ac:dyDescent="0.3">
      <c r="A142" s="151"/>
      <c r="C142" s="167"/>
      <c r="D142" s="168"/>
      <c r="E142" s="162"/>
      <c r="F142" s="165"/>
      <c r="G142" s="166"/>
      <c r="H142" s="162"/>
      <c r="I142" s="143"/>
      <c r="J142" s="145"/>
      <c r="L142" s="125"/>
      <c r="M142" s="127"/>
      <c r="N142" s="129"/>
      <c r="O142" s="129"/>
      <c r="P142" s="132"/>
      <c r="Q142" s="133"/>
    </row>
    <row r="143" spans="1:18" ht="15.6" customHeight="1" x14ac:dyDescent="0.3">
      <c r="A143" s="150"/>
      <c r="C143" s="153"/>
      <c r="D143" s="154"/>
      <c r="E143" s="155"/>
      <c r="F143" s="172"/>
      <c r="G143" s="158"/>
      <c r="H143" s="155"/>
      <c r="I143" s="186">
        <v>0.41666666666666702</v>
      </c>
      <c r="J143" s="120">
        <v>46355</v>
      </c>
      <c r="K143" t="str">
        <f>IF(F143 &lt;&gt; "", F1143, _xlfn.XLOOKUP(E1143, 'Lista de bosquejos'!A4:A197, 'Lista de bosquejos'!B4:B197, "Discurso no encontrado"))</f>
        <v>Discurso no encontrado</v>
      </c>
      <c r="L143" s="124" t="str">
        <f>IFERROR(IF(MATCH(F143, 'Lista de bosquejos'!B8:B201, 0), IF(AND(J143-INDEX('Lista de bosquejos'!D8:D201, MATCH(F143, 'Lista de bosquejos'!B8:B201, 0))&gt;1, J143-INDEX('Lista de bosquejos'!D8:D201, MATCH(F143, 'Lista de bosquejos'!B8:B201, 0))&lt;365), "Reciente", IF(J143=INDEX('Lista de bosquejos'!D8:D201, MATCH(F143, 'Lista de bosquejos'!B8:B201, 0)), "Listo", "No reciente")), "No encontrado"), "¡No encontrado!")</f>
        <v>¡No encontrado!</v>
      </c>
      <c r="M143" s="126" t="str">
        <f>IFERROR(MATCH(F143, 'Lista de bosquejos'!B8:B201, 0), "¿?")</f>
        <v>¿?</v>
      </c>
      <c r="N143" s="134"/>
      <c r="O143" s="134"/>
      <c r="P143" s="136"/>
      <c r="Q143" s="137"/>
    </row>
    <row r="144" spans="1:18" ht="15.6" customHeight="1" x14ac:dyDescent="0.3">
      <c r="A144" s="151"/>
      <c r="C144" s="122"/>
      <c r="D144" s="123"/>
      <c r="E144" s="156"/>
      <c r="F144" s="159"/>
      <c r="G144" s="160"/>
      <c r="H144" s="156"/>
      <c r="I144" s="187"/>
      <c r="J144" s="121"/>
      <c r="L144" s="125"/>
      <c r="M144" s="127"/>
      <c r="N144" s="135"/>
      <c r="O144" s="135"/>
      <c r="P144" s="138"/>
      <c r="Q144" s="139"/>
    </row>
    <row r="147" spans="1:17" ht="23.4" x14ac:dyDescent="0.45">
      <c r="A147" s="71" t="s">
        <v>416</v>
      </c>
      <c r="B147" s="237" t="s">
        <v>537</v>
      </c>
      <c r="C147" s="188"/>
      <c r="D147" s="189"/>
      <c r="E147" s="191" t="s">
        <v>372</v>
      </c>
      <c r="F147" s="191"/>
      <c r="G147" s="191"/>
      <c r="H147" s="190"/>
      <c r="I147" s="190"/>
      <c r="J147" s="190"/>
    </row>
    <row r="148" spans="1:17" ht="18" x14ac:dyDescent="0.35">
      <c r="A148" s="72" t="s">
        <v>417</v>
      </c>
      <c r="B148" s="238"/>
      <c r="C148" s="221" t="s">
        <v>307</v>
      </c>
      <c r="D148" s="221"/>
      <c r="E148" s="33" t="s">
        <v>337</v>
      </c>
      <c r="F148" s="184" t="s">
        <v>127</v>
      </c>
      <c r="G148" s="184"/>
      <c r="H148" s="13" t="s">
        <v>308</v>
      </c>
      <c r="I148" s="14" t="s">
        <v>313</v>
      </c>
      <c r="J148" s="69" t="s">
        <v>306</v>
      </c>
      <c r="L148" s="179" t="s">
        <v>399</v>
      </c>
      <c r="M148" s="180"/>
      <c r="N148" s="17" t="s">
        <v>314</v>
      </c>
      <c r="O148" s="17" t="s">
        <v>315</v>
      </c>
      <c r="P148" s="183" t="s">
        <v>316</v>
      </c>
      <c r="Q148" s="183"/>
    </row>
    <row r="149" spans="1:17" ht="15.6" customHeight="1" x14ac:dyDescent="0.3">
      <c r="A149" s="150">
        <v>6</v>
      </c>
      <c r="B149">
        <v>2</v>
      </c>
      <c r="C149" s="153"/>
      <c r="D149" s="185"/>
      <c r="E149" s="155"/>
      <c r="F149" s="157"/>
      <c r="G149" s="158"/>
      <c r="H149" s="155"/>
      <c r="I149" s="186">
        <v>0.41666666666666669</v>
      </c>
      <c r="J149" s="120">
        <v>46362</v>
      </c>
      <c r="K149" t="str">
        <f>IF(F149 &lt;&gt; "", F149, _xlfn.XLOOKUP(E149, 'Lista de bosquejos'!A4:A197, 'Lista de bosquejos'!B4:B197, "Discurso no encontrado"))</f>
        <v>Discurso no encontrado</v>
      </c>
      <c r="L149" s="124" t="str">
        <f>IFERROR(IF(MATCH(F149, 'Lista de bosquejos'!B4:B197, 0), IF(AND(J149-INDEX('Lista de bosquejos'!D4:D197, MATCH(F149, 'Lista de bosquejos'!B4:B197, 0))&gt;1, J149-INDEX('Lista de bosquejos'!D4:D197, MATCH(F149, 'Lista de bosquejos'!B4:B197, 0))&lt;365), "Reciente", IF(J149=INDEX('Lista de bosquejos'!D4:D197, MATCH(F149, 'Lista de bosquejos'!B4:B197, 0)), "Listo", "No reciente")), "No encontrado"), "¡No encontrado!")</f>
        <v>¡No encontrado!</v>
      </c>
      <c r="M149" s="126" t="str">
        <f>IFERROR(MATCH(F149, 'Lista de bosquejos'!B4:B197, 0), "¿?")</f>
        <v>¿?</v>
      </c>
      <c r="N149" s="134"/>
      <c r="O149" s="134"/>
      <c r="P149" s="136"/>
      <c r="Q149" s="137"/>
    </row>
    <row r="150" spans="1:17" ht="15.6" customHeight="1" x14ac:dyDescent="0.3">
      <c r="A150" s="151"/>
      <c r="C150" s="122"/>
      <c r="D150" s="123"/>
      <c r="E150" s="156"/>
      <c r="F150" s="159"/>
      <c r="G150" s="160"/>
      <c r="H150" s="156"/>
      <c r="I150" s="187"/>
      <c r="J150" s="121"/>
      <c r="L150" s="125"/>
      <c r="M150" s="127"/>
      <c r="N150" s="135"/>
      <c r="O150" s="135"/>
      <c r="P150" s="138"/>
      <c r="Q150" s="139"/>
    </row>
    <row r="151" spans="1:17" ht="15.6" customHeight="1" x14ac:dyDescent="0.3">
      <c r="A151" s="150">
        <v>1</v>
      </c>
      <c r="B151">
        <v>3</v>
      </c>
      <c r="C151" s="169"/>
      <c r="D151" s="170"/>
      <c r="E151" s="161"/>
      <c r="F151" s="163"/>
      <c r="G151" s="164"/>
      <c r="H151" s="161"/>
      <c r="I151" s="142">
        <v>0.41666666666666669</v>
      </c>
      <c r="J151" s="144">
        <v>46369</v>
      </c>
      <c r="K151" t="str">
        <f>IF(F151 &lt;&gt; "", F151, _xlfn.XLOOKUP(E151, 'Lista de bosquejos'!A4:A197, 'Lista de bosquejos'!B4:B197, "Discurso no encontrado"))</f>
        <v>Discurso no encontrado</v>
      </c>
      <c r="L151" s="124" t="str">
        <f>IFERROR(IF(MATCH(F151, 'Lista de bosquejos'!B4:B197, 0), IF(AND(J151-INDEX('Lista de bosquejos'!D4:D197, MATCH(F151, 'Lista de bosquejos'!B4:B197, 0))&gt;1, J151-INDEX('Lista de bosquejos'!D4:D197, MATCH(F151, 'Lista de bosquejos'!B4:B197, 0))&lt;365), "Reciente", IF(J151=INDEX('Lista de bosquejos'!D4:D197, MATCH(F151, 'Lista de bosquejos'!B4:B197, 0)), "Listo", "No reciente")), "No encontrado"), "¡No encontrado!")</f>
        <v>¡No encontrado!</v>
      </c>
      <c r="M151" s="126" t="str">
        <f>IFERROR(MATCH(F151, 'Lista de bosquejos'!B4:B197, 0), "¿?")</f>
        <v>¿?</v>
      </c>
      <c r="N151" s="128"/>
      <c r="O151" s="128"/>
      <c r="P151" s="130"/>
      <c r="Q151" s="131"/>
    </row>
    <row r="152" spans="1:17" ht="15.6" customHeight="1" x14ac:dyDescent="0.3">
      <c r="A152" s="151"/>
      <c r="C152" s="167"/>
      <c r="D152" s="171"/>
      <c r="E152" s="162"/>
      <c r="F152" s="165"/>
      <c r="G152" s="166"/>
      <c r="H152" s="162"/>
      <c r="I152" s="143"/>
      <c r="J152" s="145"/>
      <c r="L152" s="125"/>
      <c r="M152" s="127"/>
      <c r="N152" s="129"/>
      <c r="O152" s="129"/>
      <c r="P152" s="132"/>
      <c r="Q152" s="133"/>
    </row>
    <row r="153" spans="1:17" ht="15.6" customHeight="1" x14ac:dyDescent="0.3">
      <c r="A153" s="150">
        <v>2</v>
      </c>
      <c r="B153">
        <v>4</v>
      </c>
      <c r="C153" s="153"/>
      <c r="D153" s="154"/>
      <c r="E153" s="155"/>
      <c r="F153" s="157"/>
      <c r="G153" s="158"/>
      <c r="H153" s="155"/>
      <c r="I153" s="186">
        <v>0.41666666666666702</v>
      </c>
      <c r="J153" s="120">
        <v>46376</v>
      </c>
      <c r="K153" t="str">
        <f>IF(F153 &lt;&gt; "", F153, _xlfn.XLOOKUP(E153, 'Lista de bosquejos'!A4:A197, 'Lista de bosquejos'!B4:B197, "Discurso no encontrado"))</f>
        <v>Discurso no encontrado</v>
      </c>
      <c r="L153" s="124" t="str">
        <f>IFERROR(IF(MATCH(F153, 'Lista de bosquejos'!B4:B197, 0), IF(AND(J153-INDEX('Lista de bosquejos'!D4:D197, MATCH(F153, 'Lista de bosquejos'!B4:B197, 0))&gt;1, J153-INDEX('Lista de bosquejos'!D4:D197, MATCH(F153, 'Lista de bosquejos'!B4:B197, 0))&lt;365), "Reciente", IF(J153=INDEX('Lista de bosquejos'!D4:D197, MATCH(F153, 'Lista de bosquejos'!B4:B197, 0)), "Listo", "No reciente")), "No encontrado"), "¡No encontrado!")</f>
        <v>¡No encontrado!</v>
      </c>
      <c r="M153" s="126" t="str">
        <f>IFERROR(MATCH(F153, 'Lista de bosquejos'!B4:B197, 0), "¿?")</f>
        <v>¿?</v>
      </c>
      <c r="N153" s="134"/>
      <c r="O153" s="134"/>
      <c r="P153" s="136"/>
      <c r="Q153" s="137"/>
    </row>
    <row r="154" spans="1:17" ht="15.6" customHeight="1" x14ac:dyDescent="0.3">
      <c r="A154" s="151"/>
      <c r="C154" s="122"/>
      <c r="D154" s="123"/>
      <c r="E154" s="156"/>
      <c r="F154" s="159"/>
      <c r="G154" s="160"/>
      <c r="H154" s="156"/>
      <c r="I154" s="187"/>
      <c r="J154" s="121"/>
      <c r="L154" s="125"/>
      <c r="M154" s="127"/>
      <c r="N154" s="135"/>
      <c r="O154" s="135"/>
      <c r="P154" s="138"/>
      <c r="Q154" s="139"/>
    </row>
    <row r="155" spans="1:17" ht="15.6" customHeight="1" x14ac:dyDescent="0.3">
      <c r="A155" s="150">
        <v>3</v>
      </c>
      <c r="B155">
        <v>5</v>
      </c>
      <c r="C155" s="140"/>
      <c r="D155" s="141"/>
      <c r="E155" s="161"/>
      <c r="F155" s="163"/>
      <c r="G155" s="164"/>
      <c r="H155" s="161"/>
      <c r="I155" s="142">
        <v>0.41666666666666702</v>
      </c>
      <c r="J155" s="144">
        <v>46383</v>
      </c>
      <c r="K155" t="str">
        <f>IF(F155 &lt;&gt; "", F155, _xlfn.XLOOKUP(E155, 'Lista de bosquejos'!A4:A197, 'Lista de bosquejos'!B4:B197, "Discurso no encontrado"))</f>
        <v>Discurso no encontrado</v>
      </c>
      <c r="L155" s="124" t="str">
        <f>IFERROR(IF(MATCH(F155, 'Lista de bosquejos'!B4:B197, 0), IF(AND(J155-INDEX('Lista de bosquejos'!D4:D197, MATCH(F155, 'Lista de bosquejos'!B4:B197, 0))&gt;1, J155-INDEX('Lista de bosquejos'!D4:D197, MATCH(F155, 'Lista de bosquejos'!B4:B197, 0))&lt;365), "Reciente", IF(J155=INDEX('Lista de bosquejos'!D4:D197, MATCH(F155, 'Lista de bosquejos'!B4:B197, 0)), "Listo", "No reciente")), "No encontrado"), "¡No encontrado!")</f>
        <v>¡No encontrado!</v>
      </c>
      <c r="M155" s="126" t="str">
        <f>IFERROR(MATCH(F155, 'Lista de bosquejos'!B4:B197, 0), "¿?")</f>
        <v>¿?</v>
      </c>
      <c r="N155" s="128" t="s">
        <v>374</v>
      </c>
      <c r="O155" s="128"/>
      <c r="P155" s="130"/>
      <c r="Q155" s="131"/>
    </row>
    <row r="156" spans="1:17" ht="15.6" customHeight="1" x14ac:dyDescent="0.3">
      <c r="A156" s="151"/>
      <c r="C156" s="167"/>
      <c r="D156" s="168"/>
      <c r="E156" s="162"/>
      <c r="F156" s="165"/>
      <c r="G156" s="166"/>
      <c r="H156" s="162"/>
      <c r="I156" s="143"/>
      <c r="J156" s="145"/>
      <c r="L156" s="125"/>
      <c r="M156" s="127"/>
      <c r="N156" s="129"/>
      <c r="O156" s="129"/>
      <c r="P156" s="132"/>
      <c r="Q156" s="133"/>
    </row>
    <row r="160" spans="1:17" x14ac:dyDescent="0.3">
      <c r="J160"/>
    </row>
    <row r="161" spans="10:10" x14ac:dyDescent="0.3">
      <c r="J161"/>
    </row>
  </sheetData>
  <mergeCells count="768">
    <mergeCell ref="B83:B84"/>
    <mergeCell ref="B95:B96"/>
    <mergeCell ref="B109:B110"/>
    <mergeCell ref="B121:B122"/>
    <mergeCell ref="B133:B134"/>
    <mergeCell ref="B147:B148"/>
    <mergeCell ref="A73:A74"/>
    <mergeCell ref="A75:A76"/>
    <mergeCell ref="A77:A78"/>
    <mergeCell ref="A79:A80"/>
    <mergeCell ref="A85:A86"/>
    <mergeCell ref="A87:A88"/>
    <mergeCell ref="A89:A90"/>
    <mergeCell ref="A91:A92"/>
    <mergeCell ref="A111:A112"/>
    <mergeCell ref="A113:A114"/>
    <mergeCell ref="A115:A116"/>
    <mergeCell ref="A117:A118"/>
    <mergeCell ref="A123:A124"/>
    <mergeCell ref="A125:A126"/>
    <mergeCell ref="A127:A128"/>
    <mergeCell ref="A129:A130"/>
    <mergeCell ref="A135:A136"/>
    <mergeCell ref="A137:A138"/>
    <mergeCell ref="A53:A54"/>
    <mergeCell ref="A59:A60"/>
    <mergeCell ref="A61:A62"/>
    <mergeCell ref="A63:A64"/>
    <mergeCell ref="A65:A66"/>
    <mergeCell ref="A67:A68"/>
    <mergeCell ref="B45:B46"/>
    <mergeCell ref="B57:B58"/>
    <mergeCell ref="B71:B72"/>
    <mergeCell ref="B31:B32"/>
    <mergeCell ref="A33:A34"/>
    <mergeCell ref="A35:A36"/>
    <mergeCell ref="A37:A38"/>
    <mergeCell ref="A39:A40"/>
    <mergeCell ref="A41:A42"/>
    <mergeCell ref="A47:A48"/>
    <mergeCell ref="A49:A50"/>
    <mergeCell ref="A51:A52"/>
    <mergeCell ref="A7:A8"/>
    <mergeCell ref="A9:A10"/>
    <mergeCell ref="A11:A12"/>
    <mergeCell ref="A13:A14"/>
    <mergeCell ref="B5:B6"/>
    <mergeCell ref="A19:A20"/>
    <mergeCell ref="A21:A22"/>
    <mergeCell ref="A23:A24"/>
    <mergeCell ref="A25:A26"/>
    <mergeCell ref="B17:B18"/>
    <mergeCell ref="L2:Q2"/>
    <mergeCell ref="O77:O78"/>
    <mergeCell ref="P77:Q78"/>
    <mergeCell ref="N79:N80"/>
    <mergeCell ref="O79:O80"/>
    <mergeCell ref="P79:Q80"/>
    <mergeCell ref="O67:O68"/>
    <mergeCell ref="P67:Q68"/>
    <mergeCell ref="P72:Q72"/>
    <mergeCell ref="N73:N74"/>
    <mergeCell ref="O73:O74"/>
    <mergeCell ref="P73:Q74"/>
    <mergeCell ref="N77:N78"/>
    <mergeCell ref="P35:Q36"/>
    <mergeCell ref="O21:O22"/>
    <mergeCell ref="N23:N24"/>
    <mergeCell ref="O23:O24"/>
    <mergeCell ref="O19:O20"/>
    <mergeCell ref="P37:Q38"/>
    <mergeCell ref="P19:Q20"/>
    <mergeCell ref="P49:Q50"/>
    <mergeCell ref="P53:Q54"/>
    <mergeCell ref="O53:O54"/>
    <mergeCell ref="L46:M46"/>
    <mergeCell ref="N85:N86"/>
    <mergeCell ref="N87:N88"/>
    <mergeCell ref="L96:M96"/>
    <mergeCell ref="N75:N76"/>
    <mergeCell ref="O75:O76"/>
    <mergeCell ref="P75:Q76"/>
    <mergeCell ref="L84:M84"/>
    <mergeCell ref="L85:L86"/>
    <mergeCell ref="M85:M86"/>
    <mergeCell ref="L87:L88"/>
    <mergeCell ref="M87:M88"/>
    <mergeCell ref="L89:L90"/>
    <mergeCell ref="M89:M90"/>
    <mergeCell ref="L91:L92"/>
    <mergeCell ref="M91:M92"/>
    <mergeCell ref="O91:O92"/>
    <mergeCell ref="P91:Q92"/>
    <mergeCell ref="P96:Q96"/>
    <mergeCell ref="P115:Q116"/>
    <mergeCell ref="O117:O118"/>
    <mergeCell ref="P117:Q118"/>
    <mergeCell ref="N111:N112"/>
    <mergeCell ref="O123:O124"/>
    <mergeCell ref="P123:Q124"/>
    <mergeCell ref="R123:R124"/>
    <mergeCell ref="R125:R126"/>
    <mergeCell ref="R127:R128"/>
    <mergeCell ref="P127:Q128"/>
    <mergeCell ref="N115:N116"/>
    <mergeCell ref="N113:N114"/>
    <mergeCell ref="N123:N124"/>
    <mergeCell ref="R129:R130"/>
    <mergeCell ref="N97:N98"/>
    <mergeCell ref="N103:N104"/>
    <mergeCell ref="N101:N102"/>
    <mergeCell ref="L110:M110"/>
    <mergeCell ref="M111:M112"/>
    <mergeCell ref="L111:L112"/>
    <mergeCell ref="L97:L98"/>
    <mergeCell ref="M97:M98"/>
    <mergeCell ref="L99:L100"/>
    <mergeCell ref="M99:M100"/>
    <mergeCell ref="L101:L102"/>
    <mergeCell ref="M101:M102"/>
    <mergeCell ref="L103:L104"/>
    <mergeCell ref="M103:M104"/>
    <mergeCell ref="P110:Q110"/>
    <mergeCell ref="O111:O112"/>
    <mergeCell ref="P111:Q112"/>
    <mergeCell ref="O113:O114"/>
    <mergeCell ref="P113:Q114"/>
    <mergeCell ref="O115:O116"/>
    <mergeCell ref="O125:O126"/>
    <mergeCell ref="P125:Q126"/>
    <mergeCell ref="O127:O128"/>
    <mergeCell ref="A139:A140"/>
    <mergeCell ref="A141:A142"/>
    <mergeCell ref="A149:A150"/>
    <mergeCell ref="A143:A144"/>
    <mergeCell ref="A151:A152"/>
    <mergeCell ref="A153:A154"/>
    <mergeCell ref="A155:A156"/>
    <mergeCell ref="C123:D123"/>
    <mergeCell ref="E123:E124"/>
    <mergeCell ref="C129:D129"/>
    <mergeCell ref="E129:E130"/>
    <mergeCell ref="C139:D139"/>
    <mergeCell ref="E139:E140"/>
    <mergeCell ref="C148:D148"/>
    <mergeCell ref="C151:D151"/>
    <mergeCell ref="E151:E152"/>
    <mergeCell ref="C152:D152"/>
    <mergeCell ref="C153:D153"/>
    <mergeCell ref="E153:E154"/>
    <mergeCell ref="C154:D154"/>
    <mergeCell ref="C124:D124"/>
    <mergeCell ref="C125:D125"/>
    <mergeCell ref="C135:D135"/>
    <mergeCell ref="E135:E136"/>
    <mergeCell ref="F123:G124"/>
    <mergeCell ref="H123:H124"/>
    <mergeCell ref="I123:I124"/>
    <mergeCell ref="C126:D126"/>
    <mergeCell ref="C127:D127"/>
    <mergeCell ref="J123:J124"/>
    <mergeCell ref="L122:M122"/>
    <mergeCell ref="M123:M124"/>
    <mergeCell ref="M125:M126"/>
    <mergeCell ref="M127:M128"/>
    <mergeCell ref="L123:L124"/>
    <mergeCell ref="L125:L126"/>
    <mergeCell ref="L127:L128"/>
    <mergeCell ref="M113:M114"/>
    <mergeCell ref="M115:M116"/>
    <mergeCell ref="L113:L114"/>
    <mergeCell ref="L115:L116"/>
    <mergeCell ref="J125:J126"/>
    <mergeCell ref="J127:J128"/>
    <mergeCell ref="J129:J130"/>
    <mergeCell ref="N117:N118"/>
    <mergeCell ref="N125:N126"/>
    <mergeCell ref="N127:N128"/>
    <mergeCell ref="N129:N130"/>
    <mergeCell ref="M129:M130"/>
    <mergeCell ref="L129:L130"/>
    <mergeCell ref="O97:O98"/>
    <mergeCell ref="P97:Q98"/>
    <mergeCell ref="P84:Q84"/>
    <mergeCell ref="O85:O86"/>
    <mergeCell ref="P85:Q86"/>
    <mergeCell ref="O87:O88"/>
    <mergeCell ref="P87:Q88"/>
    <mergeCell ref="O89:O90"/>
    <mergeCell ref="P89:Q90"/>
    <mergeCell ref="H75:H76"/>
    <mergeCell ref="I77:I78"/>
    <mergeCell ref="J77:J78"/>
    <mergeCell ref="C78:D78"/>
    <mergeCell ref="C79:D79"/>
    <mergeCell ref="E79:E80"/>
    <mergeCell ref="F79:G80"/>
    <mergeCell ref="I79:I80"/>
    <mergeCell ref="J79:J80"/>
    <mergeCell ref="C80:D80"/>
    <mergeCell ref="C75:D75"/>
    <mergeCell ref="E75:E76"/>
    <mergeCell ref="F75:G76"/>
    <mergeCell ref="I75:I76"/>
    <mergeCell ref="J75:J76"/>
    <mergeCell ref="C76:D76"/>
    <mergeCell ref="C77:D77"/>
    <mergeCell ref="E77:E78"/>
    <mergeCell ref="F77:G78"/>
    <mergeCell ref="H77:H78"/>
    <mergeCell ref="H79:H80"/>
    <mergeCell ref="E71:G71"/>
    <mergeCell ref="I71:J71"/>
    <mergeCell ref="C72:D72"/>
    <mergeCell ref="F72:G72"/>
    <mergeCell ref="C73:D73"/>
    <mergeCell ref="E73:E74"/>
    <mergeCell ref="F73:G74"/>
    <mergeCell ref="I73:I74"/>
    <mergeCell ref="J73:J74"/>
    <mergeCell ref="C74:D74"/>
    <mergeCell ref="H73:H74"/>
    <mergeCell ref="C65:D65"/>
    <mergeCell ref="E65:E66"/>
    <mergeCell ref="F65:G66"/>
    <mergeCell ref="H65:H66"/>
    <mergeCell ref="I65:I66"/>
    <mergeCell ref="J65:J66"/>
    <mergeCell ref="N65:N66"/>
    <mergeCell ref="O65:O66"/>
    <mergeCell ref="P65:Q66"/>
    <mergeCell ref="C66:D66"/>
    <mergeCell ref="L65:L66"/>
    <mergeCell ref="M65:M66"/>
    <mergeCell ref="E57:G57"/>
    <mergeCell ref="I57:J57"/>
    <mergeCell ref="C58:D58"/>
    <mergeCell ref="F58:G58"/>
    <mergeCell ref="P58:Q58"/>
    <mergeCell ref="C59:D59"/>
    <mergeCell ref="E59:E60"/>
    <mergeCell ref="C63:D63"/>
    <mergeCell ref="E63:E64"/>
    <mergeCell ref="F63:G64"/>
    <mergeCell ref="H63:H64"/>
    <mergeCell ref="I63:I64"/>
    <mergeCell ref="J63:J64"/>
    <mergeCell ref="N63:N64"/>
    <mergeCell ref="O63:O64"/>
    <mergeCell ref="P63:Q64"/>
    <mergeCell ref="C64:D64"/>
    <mergeCell ref="L63:L64"/>
    <mergeCell ref="M63:M64"/>
    <mergeCell ref="C61:D61"/>
    <mergeCell ref="E61:E62"/>
    <mergeCell ref="F61:G62"/>
    <mergeCell ref="H61:H62"/>
    <mergeCell ref="I61:I62"/>
    <mergeCell ref="J61:J62"/>
    <mergeCell ref="N61:N62"/>
    <mergeCell ref="O61:O62"/>
    <mergeCell ref="P61:Q62"/>
    <mergeCell ref="C62:D62"/>
    <mergeCell ref="L61:L62"/>
    <mergeCell ref="M61:M62"/>
    <mergeCell ref="F59:G60"/>
    <mergeCell ref="H59:H60"/>
    <mergeCell ref="I59:I60"/>
    <mergeCell ref="J59:J60"/>
    <mergeCell ref="N59:N60"/>
    <mergeCell ref="O59:O60"/>
    <mergeCell ref="P59:Q60"/>
    <mergeCell ref="C60:D60"/>
    <mergeCell ref="L58:M58"/>
    <mergeCell ref="M59:M60"/>
    <mergeCell ref="C9:D9"/>
    <mergeCell ref="C11:D11"/>
    <mergeCell ref="C14:D14"/>
    <mergeCell ref="C6:D6"/>
    <mergeCell ref="F6:G6"/>
    <mergeCell ref="H11:H12"/>
    <mergeCell ref="I11:I12"/>
    <mergeCell ref="J11:J12"/>
    <mergeCell ref="H13:H14"/>
    <mergeCell ref="I13:I14"/>
    <mergeCell ref="I7:I8"/>
    <mergeCell ref="J7:J8"/>
    <mergeCell ref="P32:Q32"/>
    <mergeCell ref="C37:D37"/>
    <mergeCell ref="F37:G38"/>
    <mergeCell ref="H37:H38"/>
    <mergeCell ref="I37:I38"/>
    <mergeCell ref="J37:J38"/>
    <mergeCell ref="N37:N38"/>
    <mergeCell ref="C24:D24"/>
    <mergeCell ref="C25:D25"/>
    <mergeCell ref="F25:G26"/>
    <mergeCell ref="H25:H26"/>
    <mergeCell ref="I25:I26"/>
    <mergeCell ref="J25:J26"/>
    <mergeCell ref="N25:N26"/>
    <mergeCell ref="O25:O26"/>
    <mergeCell ref="C32:D32"/>
    <mergeCell ref="F32:G32"/>
    <mergeCell ref="C26:D26"/>
    <mergeCell ref="E23:E24"/>
    <mergeCell ref="C36:D36"/>
    <mergeCell ref="P23:Q24"/>
    <mergeCell ref="N35:N36"/>
    <mergeCell ref="O37:O38"/>
    <mergeCell ref="C38:D38"/>
    <mergeCell ref="C47:D47"/>
    <mergeCell ref="F47:G48"/>
    <mergeCell ref="H47:H48"/>
    <mergeCell ref="I47:I48"/>
    <mergeCell ref="J47:J48"/>
    <mergeCell ref="O39:O40"/>
    <mergeCell ref="C40:D40"/>
    <mergeCell ref="C41:D41"/>
    <mergeCell ref="F41:G42"/>
    <mergeCell ref="N41:N42"/>
    <mergeCell ref="L47:L48"/>
    <mergeCell ref="M47:M48"/>
    <mergeCell ref="C39:D39"/>
    <mergeCell ref="F39:G40"/>
    <mergeCell ref="H39:H40"/>
    <mergeCell ref="N39:N40"/>
    <mergeCell ref="E41:E42"/>
    <mergeCell ref="H41:H42"/>
    <mergeCell ref="I41:I42"/>
    <mergeCell ref="J41:J42"/>
    <mergeCell ref="C42:D42"/>
    <mergeCell ref="O41:O42"/>
    <mergeCell ref="E2:G2"/>
    <mergeCell ref="E3:G3"/>
    <mergeCell ref="E7:E8"/>
    <mergeCell ref="E9:E10"/>
    <mergeCell ref="E11:E12"/>
    <mergeCell ref="E13:E14"/>
    <mergeCell ref="E17:G17"/>
    <mergeCell ref="F7:G8"/>
    <mergeCell ref="F19:G20"/>
    <mergeCell ref="F18:G18"/>
    <mergeCell ref="F9:G10"/>
    <mergeCell ref="F13:G14"/>
    <mergeCell ref="F11:G12"/>
    <mergeCell ref="C19:D19"/>
    <mergeCell ref="C18:D18"/>
    <mergeCell ref="P6:Q6"/>
    <mergeCell ref="N7:N8"/>
    <mergeCell ref="O7:O8"/>
    <mergeCell ref="N9:N10"/>
    <mergeCell ref="N11:N12"/>
    <mergeCell ref="E25:E26"/>
    <mergeCell ref="C23:D23"/>
    <mergeCell ref="H21:H22"/>
    <mergeCell ref="H19:H20"/>
    <mergeCell ref="I19:I20"/>
    <mergeCell ref="J19:J20"/>
    <mergeCell ref="E19:E20"/>
    <mergeCell ref="C20:D20"/>
    <mergeCell ref="M25:M26"/>
    <mergeCell ref="I21:I22"/>
    <mergeCell ref="J21:J22"/>
    <mergeCell ref="I17:J17"/>
    <mergeCell ref="C8:D8"/>
    <mergeCell ref="C10:D10"/>
    <mergeCell ref="C13:D13"/>
    <mergeCell ref="C12:D12"/>
    <mergeCell ref="C7:D7"/>
    <mergeCell ref="P25:Q26"/>
    <mergeCell ref="I31:J31"/>
    <mergeCell ref="E21:E22"/>
    <mergeCell ref="F23:G24"/>
    <mergeCell ref="H23:H24"/>
    <mergeCell ref="I23:I24"/>
    <mergeCell ref="J23:J24"/>
    <mergeCell ref="F21:G22"/>
    <mergeCell ref="N19:N20"/>
    <mergeCell ref="N21:N22"/>
    <mergeCell ref="P21:Q22"/>
    <mergeCell ref="E5:G5"/>
    <mergeCell ref="P7:Q8"/>
    <mergeCell ref="P18:Q18"/>
    <mergeCell ref="J13:J14"/>
    <mergeCell ref="H7:H8"/>
    <mergeCell ref="P13:Q14"/>
    <mergeCell ref="P9:Q10"/>
    <mergeCell ref="P11:Q12"/>
    <mergeCell ref="H9:H10"/>
    <mergeCell ref="I9:I10"/>
    <mergeCell ref="J9:J10"/>
    <mergeCell ref="N13:N14"/>
    <mergeCell ref="O13:O14"/>
    <mergeCell ref="O11:O12"/>
    <mergeCell ref="O9:O10"/>
    <mergeCell ref="I5:J5"/>
    <mergeCell ref="E37:E38"/>
    <mergeCell ref="E39:E40"/>
    <mergeCell ref="I39:I40"/>
    <mergeCell ref="J39:J40"/>
    <mergeCell ref="C35:D35"/>
    <mergeCell ref="C21:D21"/>
    <mergeCell ref="E35:E36"/>
    <mergeCell ref="F35:G36"/>
    <mergeCell ref="H35:H36"/>
    <mergeCell ref="I35:I36"/>
    <mergeCell ref="J35:J36"/>
    <mergeCell ref="E31:G31"/>
    <mergeCell ref="C22:D22"/>
    <mergeCell ref="C52:D52"/>
    <mergeCell ref="E45:G45"/>
    <mergeCell ref="I45:J45"/>
    <mergeCell ref="C46:D46"/>
    <mergeCell ref="F46:G46"/>
    <mergeCell ref="P46:Q46"/>
    <mergeCell ref="C49:D49"/>
    <mergeCell ref="E49:E50"/>
    <mergeCell ref="F49:G50"/>
    <mergeCell ref="H49:H50"/>
    <mergeCell ref="I49:I50"/>
    <mergeCell ref="J49:J50"/>
    <mergeCell ref="N47:N48"/>
    <mergeCell ref="O47:O48"/>
    <mergeCell ref="P47:Q48"/>
    <mergeCell ref="C50:D50"/>
    <mergeCell ref="C51:D51"/>
    <mergeCell ref="E51:E52"/>
    <mergeCell ref="P51:Q52"/>
    <mergeCell ref="N49:N50"/>
    <mergeCell ref="O49:O50"/>
    <mergeCell ref="C48:D48"/>
    <mergeCell ref="E47:E48"/>
    <mergeCell ref="O51:O52"/>
    <mergeCell ref="C68:D68"/>
    <mergeCell ref="F51:G52"/>
    <mergeCell ref="C53:D53"/>
    <mergeCell ref="E53:E54"/>
    <mergeCell ref="F53:G54"/>
    <mergeCell ref="H53:H54"/>
    <mergeCell ref="I53:I54"/>
    <mergeCell ref="J53:J54"/>
    <mergeCell ref="N51:N52"/>
    <mergeCell ref="H51:H52"/>
    <mergeCell ref="I51:I52"/>
    <mergeCell ref="J51:J52"/>
    <mergeCell ref="C54:D54"/>
    <mergeCell ref="C67:D67"/>
    <mergeCell ref="E67:E68"/>
    <mergeCell ref="F67:G68"/>
    <mergeCell ref="H67:H68"/>
    <mergeCell ref="I67:I68"/>
    <mergeCell ref="J67:J68"/>
    <mergeCell ref="N53:N54"/>
    <mergeCell ref="N67:N68"/>
    <mergeCell ref="L67:L68"/>
    <mergeCell ref="M67:M68"/>
    <mergeCell ref="L59:L60"/>
    <mergeCell ref="C89:D89"/>
    <mergeCell ref="E89:E90"/>
    <mergeCell ref="F89:G90"/>
    <mergeCell ref="H89:H90"/>
    <mergeCell ref="I89:I90"/>
    <mergeCell ref="J89:J90"/>
    <mergeCell ref="C90:D90"/>
    <mergeCell ref="E83:G83"/>
    <mergeCell ref="I83:J83"/>
    <mergeCell ref="C84:D84"/>
    <mergeCell ref="F84:G84"/>
    <mergeCell ref="C86:D86"/>
    <mergeCell ref="J85:J86"/>
    <mergeCell ref="I85:I86"/>
    <mergeCell ref="H85:H86"/>
    <mergeCell ref="F85:G86"/>
    <mergeCell ref="E85:E86"/>
    <mergeCell ref="C85:D85"/>
    <mergeCell ref="C87:D87"/>
    <mergeCell ref="E87:E88"/>
    <mergeCell ref="F87:G88"/>
    <mergeCell ref="H87:H88"/>
    <mergeCell ref="I87:I88"/>
    <mergeCell ref="J87:J88"/>
    <mergeCell ref="I97:I98"/>
    <mergeCell ref="J97:J98"/>
    <mergeCell ref="C98:D98"/>
    <mergeCell ref="C91:D91"/>
    <mergeCell ref="E91:E92"/>
    <mergeCell ref="F91:G92"/>
    <mergeCell ref="H91:H92"/>
    <mergeCell ref="I91:I92"/>
    <mergeCell ref="J91:J92"/>
    <mergeCell ref="C92:D92"/>
    <mergeCell ref="C97:D97"/>
    <mergeCell ref="F97:G98"/>
    <mergeCell ref="H97:H98"/>
    <mergeCell ref="C88:D88"/>
    <mergeCell ref="N89:N90"/>
    <mergeCell ref="N91:N92"/>
    <mergeCell ref="E109:G109"/>
    <mergeCell ref="I109:J109"/>
    <mergeCell ref="C110:D110"/>
    <mergeCell ref="F110:G110"/>
    <mergeCell ref="C111:D111"/>
    <mergeCell ref="E111:E112"/>
    <mergeCell ref="F111:G112"/>
    <mergeCell ref="H111:H112"/>
    <mergeCell ref="I111:I112"/>
    <mergeCell ref="J111:J112"/>
    <mergeCell ref="C112:D112"/>
    <mergeCell ref="N99:N100"/>
    <mergeCell ref="H101:H102"/>
    <mergeCell ref="I101:I102"/>
    <mergeCell ref="J101:J102"/>
    <mergeCell ref="C102:D102"/>
    <mergeCell ref="E95:G95"/>
    <mergeCell ref="I95:J95"/>
    <mergeCell ref="C96:D96"/>
    <mergeCell ref="F96:G96"/>
    <mergeCell ref="I105:I106"/>
    <mergeCell ref="C113:D113"/>
    <mergeCell ref="E113:E114"/>
    <mergeCell ref="F113:G114"/>
    <mergeCell ref="H113:H114"/>
    <mergeCell ref="I113:I114"/>
    <mergeCell ref="J113:J114"/>
    <mergeCell ref="C114:D114"/>
    <mergeCell ref="C115:D115"/>
    <mergeCell ref="E115:E116"/>
    <mergeCell ref="F115:G116"/>
    <mergeCell ref="H115:H116"/>
    <mergeCell ref="I115:I116"/>
    <mergeCell ref="J115:J116"/>
    <mergeCell ref="C116:D116"/>
    <mergeCell ref="E121:G121"/>
    <mergeCell ref="I121:J121"/>
    <mergeCell ref="C122:D122"/>
    <mergeCell ref="F122:G122"/>
    <mergeCell ref="P122:Q122"/>
    <mergeCell ref="C117:D117"/>
    <mergeCell ref="E117:E118"/>
    <mergeCell ref="F117:G118"/>
    <mergeCell ref="H117:H118"/>
    <mergeCell ref="I117:I118"/>
    <mergeCell ref="J117:J118"/>
    <mergeCell ref="C118:D118"/>
    <mergeCell ref="L117:L118"/>
    <mergeCell ref="M117:M118"/>
    <mergeCell ref="O129:O130"/>
    <mergeCell ref="P129:Q130"/>
    <mergeCell ref="E125:E126"/>
    <mergeCell ref="F125:G126"/>
    <mergeCell ref="H125:H126"/>
    <mergeCell ref="I125:I126"/>
    <mergeCell ref="E133:G133"/>
    <mergeCell ref="I133:J133"/>
    <mergeCell ref="C134:D134"/>
    <mergeCell ref="F134:G134"/>
    <mergeCell ref="P134:Q134"/>
    <mergeCell ref="F129:G130"/>
    <mergeCell ref="H129:H130"/>
    <mergeCell ref="I129:I130"/>
    <mergeCell ref="C130:D130"/>
    <mergeCell ref="E127:E128"/>
    <mergeCell ref="F127:G128"/>
    <mergeCell ref="H127:H128"/>
    <mergeCell ref="I127:I128"/>
    <mergeCell ref="C128:D128"/>
    <mergeCell ref="N135:N136"/>
    <mergeCell ref="O135:O136"/>
    <mergeCell ref="P135:Q136"/>
    <mergeCell ref="L135:L136"/>
    <mergeCell ref="M135:M136"/>
    <mergeCell ref="L134:M134"/>
    <mergeCell ref="C137:D137"/>
    <mergeCell ref="E137:E138"/>
    <mergeCell ref="F137:G138"/>
    <mergeCell ref="H137:H138"/>
    <mergeCell ref="I137:I138"/>
    <mergeCell ref="J137:J138"/>
    <mergeCell ref="C138:D138"/>
    <mergeCell ref="F135:G136"/>
    <mergeCell ref="H135:H136"/>
    <mergeCell ref="I135:I136"/>
    <mergeCell ref="J135:J136"/>
    <mergeCell ref="C136:D136"/>
    <mergeCell ref="F139:G140"/>
    <mergeCell ref="H139:H140"/>
    <mergeCell ref="I139:I140"/>
    <mergeCell ref="J139:J140"/>
    <mergeCell ref="C140:D140"/>
    <mergeCell ref="N137:N138"/>
    <mergeCell ref="O137:O138"/>
    <mergeCell ref="P137:Q138"/>
    <mergeCell ref="N139:N140"/>
    <mergeCell ref="O139:O140"/>
    <mergeCell ref="P139:Q140"/>
    <mergeCell ref="M137:M138"/>
    <mergeCell ref="M139:M140"/>
    <mergeCell ref="L137:L138"/>
    <mergeCell ref="L139:L140"/>
    <mergeCell ref="L141:L142"/>
    <mergeCell ref="L148:M148"/>
    <mergeCell ref="C147:D147"/>
    <mergeCell ref="H147:J147"/>
    <mergeCell ref="N143:N144"/>
    <mergeCell ref="O143:O144"/>
    <mergeCell ref="P143:Q144"/>
    <mergeCell ref="C144:D144"/>
    <mergeCell ref="C143:D143"/>
    <mergeCell ref="C141:D141"/>
    <mergeCell ref="E141:E142"/>
    <mergeCell ref="F141:G142"/>
    <mergeCell ref="H141:H142"/>
    <mergeCell ref="I141:I142"/>
    <mergeCell ref="J141:J142"/>
    <mergeCell ref="C142:D142"/>
    <mergeCell ref="E143:E144"/>
    <mergeCell ref="F143:G144"/>
    <mergeCell ref="H143:H144"/>
    <mergeCell ref="I143:I144"/>
    <mergeCell ref="J143:J144"/>
    <mergeCell ref="L143:L144"/>
    <mergeCell ref="M143:M144"/>
    <mergeCell ref="E147:G147"/>
    <mergeCell ref="F148:G148"/>
    <mergeCell ref="C149:D149"/>
    <mergeCell ref="E149:E150"/>
    <mergeCell ref="F149:G150"/>
    <mergeCell ref="H149:H150"/>
    <mergeCell ref="I149:I150"/>
    <mergeCell ref="J149:J150"/>
    <mergeCell ref="C150:D150"/>
    <mergeCell ref="N153:N154"/>
    <mergeCell ref="F151:G152"/>
    <mergeCell ref="H151:H152"/>
    <mergeCell ref="I151:I152"/>
    <mergeCell ref="J151:J152"/>
    <mergeCell ref="F153:G154"/>
    <mergeCell ref="H153:H154"/>
    <mergeCell ref="I153:I154"/>
    <mergeCell ref="J153:J154"/>
    <mergeCell ref="O153:O154"/>
    <mergeCell ref="P153:Q154"/>
    <mergeCell ref="C155:D155"/>
    <mergeCell ref="E155:E156"/>
    <mergeCell ref="F155:G156"/>
    <mergeCell ref="H155:H156"/>
    <mergeCell ref="I155:I156"/>
    <mergeCell ref="J155:J156"/>
    <mergeCell ref="C156:D156"/>
    <mergeCell ref="N155:N156"/>
    <mergeCell ref="O155:O156"/>
    <mergeCell ref="P155:Q156"/>
    <mergeCell ref="M153:M154"/>
    <mergeCell ref="M155:M156"/>
    <mergeCell ref="L153:L154"/>
    <mergeCell ref="L155:L156"/>
    <mergeCell ref="P148:Q148"/>
    <mergeCell ref="N149:N150"/>
    <mergeCell ref="O149:O150"/>
    <mergeCell ref="P149:Q150"/>
    <mergeCell ref="N151:N152"/>
    <mergeCell ref="O151:O152"/>
    <mergeCell ref="L72:M72"/>
    <mergeCell ref="L73:L74"/>
    <mergeCell ref="M73:M74"/>
    <mergeCell ref="L75:L76"/>
    <mergeCell ref="M75:M76"/>
    <mergeCell ref="L77:L78"/>
    <mergeCell ref="M77:M78"/>
    <mergeCell ref="L79:L80"/>
    <mergeCell ref="M79:M80"/>
    <mergeCell ref="P151:Q152"/>
    <mergeCell ref="M151:M152"/>
    <mergeCell ref="L149:L150"/>
    <mergeCell ref="L151:L152"/>
    <mergeCell ref="P141:Q142"/>
    <mergeCell ref="M141:M142"/>
    <mergeCell ref="M149:M150"/>
    <mergeCell ref="N141:N142"/>
    <mergeCell ref="O141:O142"/>
    <mergeCell ref="L49:L50"/>
    <mergeCell ref="M49:M50"/>
    <mergeCell ref="L51:L52"/>
    <mergeCell ref="M51:M52"/>
    <mergeCell ref="L53:L54"/>
    <mergeCell ref="M53:M54"/>
    <mergeCell ref="L6:M6"/>
    <mergeCell ref="L7:L8"/>
    <mergeCell ref="M7:M8"/>
    <mergeCell ref="L9:L10"/>
    <mergeCell ref="M9:M10"/>
    <mergeCell ref="L11:L12"/>
    <mergeCell ref="M11:M12"/>
    <mergeCell ref="L13:L14"/>
    <mergeCell ref="M13:M14"/>
    <mergeCell ref="M41:M42"/>
    <mergeCell ref="L18:M18"/>
    <mergeCell ref="L19:L20"/>
    <mergeCell ref="M19:M20"/>
    <mergeCell ref="L21:L22"/>
    <mergeCell ref="M21:M22"/>
    <mergeCell ref="L23:L24"/>
    <mergeCell ref="M23:M24"/>
    <mergeCell ref="L25:L26"/>
    <mergeCell ref="L32:M32"/>
    <mergeCell ref="L35:L36"/>
    <mergeCell ref="M35:M36"/>
    <mergeCell ref="L37:L38"/>
    <mergeCell ref="M37:M38"/>
    <mergeCell ref="L39:L40"/>
    <mergeCell ref="M39:M40"/>
    <mergeCell ref="L41:L42"/>
    <mergeCell ref="O33:O34"/>
    <mergeCell ref="O35:O36"/>
    <mergeCell ref="P33:Q34"/>
    <mergeCell ref="C34:D34"/>
    <mergeCell ref="C33:D33"/>
    <mergeCell ref="E33:E34"/>
    <mergeCell ref="F33:G34"/>
    <mergeCell ref="H33:H34"/>
    <mergeCell ref="I33:I34"/>
    <mergeCell ref="J33:J34"/>
    <mergeCell ref="L33:L34"/>
    <mergeCell ref="M33:M34"/>
    <mergeCell ref="N33:N34"/>
    <mergeCell ref="P41:Q42"/>
    <mergeCell ref="P39:Q40"/>
    <mergeCell ref="A97:A98"/>
    <mergeCell ref="A99:A100"/>
    <mergeCell ref="A101:A102"/>
    <mergeCell ref="A103:A104"/>
    <mergeCell ref="A105:A106"/>
    <mergeCell ref="C105:D105"/>
    <mergeCell ref="E105:E106"/>
    <mergeCell ref="F105:G106"/>
    <mergeCell ref="H105:H106"/>
    <mergeCell ref="E103:E104"/>
    <mergeCell ref="F103:G104"/>
    <mergeCell ref="H103:H104"/>
    <mergeCell ref="C104:D104"/>
    <mergeCell ref="C99:D99"/>
    <mergeCell ref="E99:E100"/>
    <mergeCell ref="F99:G100"/>
    <mergeCell ref="H99:H100"/>
    <mergeCell ref="C100:D100"/>
    <mergeCell ref="C101:D101"/>
    <mergeCell ref="E101:E102"/>
    <mergeCell ref="F101:G102"/>
    <mergeCell ref="E97:E98"/>
    <mergeCell ref="J105:J106"/>
    <mergeCell ref="C106:D106"/>
    <mergeCell ref="L105:L106"/>
    <mergeCell ref="M105:M106"/>
    <mergeCell ref="O99:O100"/>
    <mergeCell ref="P99:Q100"/>
    <mergeCell ref="O101:O102"/>
    <mergeCell ref="P101:Q102"/>
    <mergeCell ref="O103:O104"/>
    <mergeCell ref="P103:Q104"/>
    <mergeCell ref="C103:D103"/>
    <mergeCell ref="I103:I104"/>
    <mergeCell ref="J103:J104"/>
    <mergeCell ref="I99:I100"/>
    <mergeCell ref="J99:J100"/>
    <mergeCell ref="N105:N106"/>
    <mergeCell ref="O105:O106"/>
    <mergeCell ref="P105:Q106"/>
  </mergeCells>
  <conditionalFormatting sqref="L7:M7 L9:M9 L11:M11 L13:M13">
    <cfRule type="cellIs" dxfId="59" priority="56" operator="between">
      <formula>1</formula>
      <formula>197</formula>
    </cfRule>
    <cfRule type="containsText" dxfId="58" priority="60" operator="containsText" text="Reciente">
      <formula>NOT(ISERROR(SEARCH("Reciente",L7)))</formula>
    </cfRule>
    <cfRule type="containsText" dxfId="57" priority="59" operator="containsText" text="No encontrado">
      <formula>NOT(ISERROR(SEARCH("No encontrado",L7)))</formula>
    </cfRule>
    <cfRule type="containsText" dxfId="56" priority="58" operator="containsText" text="No reciente">
      <formula>NOT(ISERROR(SEARCH("No reciente",L7)))</formula>
    </cfRule>
    <cfRule type="containsText" dxfId="55" priority="57" operator="containsText" text="Listo">
      <formula>NOT(ISERROR(SEARCH("Listo",L7)))</formula>
    </cfRule>
  </conditionalFormatting>
  <conditionalFormatting sqref="L19:M19 L21:M21 L23:M23 L25:M25">
    <cfRule type="cellIs" dxfId="54" priority="41" operator="between">
      <formula>1</formula>
      <formula>197</formula>
    </cfRule>
    <cfRule type="containsText" dxfId="53" priority="42" operator="containsText" text="Listo">
      <formula>NOT(ISERROR(SEARCH("Listo",L19)))</formula>
    </cfRule>
    <cfRule type="containsText" dxfId="52" priority="43" operator="containsText" text="No reciente">
      <formula>NOT(ISERROR(SEARCH("No reciente",L19)))</formula>
    </cfRule>
    <cfRule type="containsText" dxfId="51" priority="44" operator="containsText" text="No encontrado">
      <formula>NOT(ISERROR(SEARCH("No encontrado",L19)))</formula>
    </cfRule>
    <cfRule type="containsText" dxfId="50" priority="45" operator="containsText" text="Reciente">
      <formula>NOT(ISERROR(SEARCH("Reciente",L19)))</formula>
    </cfRule>
  </conditionalFormatting>
  <conditionalFormatting sqref="L33:M33">
    <cfRule type="containsText" dxfId="49" priority="40" operator="containsText" text="Reciente">
      <formula>NOT(ISERROR(SEARCH("Reciente",L33)))</formula>
    </cfRule>
    <cfRule type="cellIs" dxfId="48" priority="36" operator="between">
      <formula>1</formula>
      <formula>197</formula>
    </cfRule>
    <cfRule type="containsText" dxfId="47" priority="37" operator="containsText" text="Listo">
      <formula>NOT(ISERROR(SEARCH("Listo",L33)))</formula>
    </cfRule>
    <cfRule type="containsText" dxfId="46" priority="38" operator="containsText" text="No reciente">
      <formula>NOT(ISERROR(SEARCH("No reciente",L33)))</formula>
    </cfRule>
    <cfRule type="containsText" dxfId="45" priority="39" operator="containsText" text="No encontrado">
      <formula>NOT(ISERROR(SEARCH("No encontrado",L33)))</formula>
    </cfRule>
  </conditionalFormatting>
  <conditionalFormatting sqref="L35:M35 L37:M37 L39:M39 L41:M41">
    <cfRule type="cellIs" dxfId="44" priority="46" operator="between">
      <formula>1</formula>
      <formula>197</formula>
    </cfRule>
    <cfRule type="containsText" dxfId="43" priority="47" operator="containsText" text="Listo">
      <formula>NOT(ISERROR(SEARCH("Listo",L35)))</formula>
    </cfRule>
    <cfRule type="containsText" dxfId="42" priority="48" operator="containsText" text="No reciente">
      <formula>NOT(ISERROR(SEARCH("No reciente",L35)))</formula>
    </cfRule>
    <cfRule type="containsText" dxfId="41" priority="50" operator="containsText" text="Reciente">
      <formula>NOT(ISERROR(SEARCH("Reciente",L35)))</formula>
    </cfRule>
    <cfRule type="containsText" dxfId="40" priority="49" operator="containsText" text="No encontrado">
      <formula>NOT(ISERROR(SEARCH("No encontrado",L35)))</formula>
    </cfRule>
  </conditionalFormatting>
  <conditionalFormatting sqref="L47:M47 L49:M49 L51:M51 L53:M53 L67:M67">
    <cfRule type="containsText" dxfId="39" priority="65" operator="containsText" text="Reciente">
      <formula>NOT(ISERROR(SEARCH("Reciente",L47)))</formula>
    </cfRule>
    <cfRule type="containsText" dxfId="38" priority="64" operator="containsText" text="No encontrado">
      <formula>NOT(ISERROR(SEARCH("No encontrado",L47)))</formula>
    </cfRule>
    <cfRule type="containsText" dxfId="37" priority="63" operator="containsText" text="No reciente">
      <formula>NOT(ISERROR(SEARCH("No reciente",L47)))</formula>
    </cfRule>
    <cfRule type="containsText" dxfId="36" priority="62" operator="containsText" text="Listo">
      <formula>NOT(ISERROR(SEARCH("Listo",L47)))</formula>
    </cfRule>
    <cfRule type="cellIs" dxfId="35" priority="61" operator="between">
      <formula>1</formula>
      <formula>197</formula>
    </cfRule>
  </conditionalFormatting>
  <conditionalFormatting sqref="L59:M59 L61:M61 L63:M63 L65:M65">
    <cfRule type="cellIs" dxfId="34" priority="51" operator="between">
      <formula>1</formula>
      <formula>197</formula>
    </cfRule>
    <cfRule type="containsText" dxfId="33" priority="52" operator="containsText" text="Listo">
      <formula>NOT(ISERROR(SEARCH("Listo",L59)))</formula>
    </cfRule>
    <cfRule type="containsText" dxfId="32" priority="53" operator="containsText" text="No reciente">
      <formula>NOT(ISERROR(SEARCH("No reciente",L59)))</formula>
    </cfRule>
    <cfRule type="containsText" dxfId="31" priority="54" operator="containsText" text="No encontrado">
      <formula>NOT(ISERROR(SEARCH("No encontrado",L59)))</formula>
    </cfRule>
    <cfRule type="containsText" dxfId="30" priority="55" operator="containsText" text="Reciente">
      <formula>NOT(ISERROR(SEARCH("Reciente",L59)))</formula>
    </cfRule>
  </conditionalFormatting>
  <conditionalFormatting sqref="L73:M73 L75:M75 L77:M77 L79:M79">
    <cfRule type="cellIs" dxfId="29" priority="66" operator="between">
      <formula>1</formula>
      <formula>197</formula>
    </cfRule>
    <cfRule type="containsText" dxfId="28" priority="67" operator="containsText" text="Listo">
      <formula>NOT(ISERROR(SEARCH("Listo",L73)))</formula>
    </cfRule>
    <cfRule type="containsText" dxfId="27" priority="68" operator="containsText" text="No reciente">
      <formula>NOT(ISERROR(SEARCH("No reciente",L73)))</formula>
    </cfRule>
    <cfRule type="containsText" dxfId="26" priority="69" operator="containsText" text="No encontrado">
      <formula>NOT(ISERROR(SEARCH("No encontrado",L73)))</formula>
    </cfRule>
    <cfRule type="containsText" dxfId="25" priority="70" operator="containsText" text="Reciente">
      <formula>NOT(ISERROR(SEARCH("Reciente",L73)))</formula>
    </cfRule>
  </conditionalFormatting>
  <conditionalFormatting sqref="L85:M85 L87:M87 L89:M89 L91:M91">
    <cfRule type="cellIs" dxfId="24" priority="71" operator="between">
      <formula>1</formula>
      <formula>197</formula>
    </cfRule>
    <cfRule type="containsText" dxfId="23" priority="72" operator="containsText" text="Listo">
      <formula>NOT(ISERROR(SEARCH("Listo",L85)))</formula>
    </cfRule>
    <cfRule type="containsText" dxfId="22" priority="73" operator="containsText" text="No reciente">
      <formula>NOT(ISERROR(SEARCH("No reciente",L85)))</formula>
    </cfRule>
    <cfRule type="containsText" dxfId="21" priority="74" operator="containsText" text="No encontrado">
      <formula>NOT(ISERROR(SEARCH("No encontrado",L85)))</formula>
    </cfRule>
    <cfRule type="containsText" dxfId="20" priority="75" operator="containsText" text="Reciente">
      <formula>NOT(ISERROR(SEARCH("Reciente",L85)))</formula>
    </cfRule>
  </conditionalFormatting>
  <conditionalFormatting sqref="L97:M97 L99:M99 L101:M101 L103:M103">
    <cfRule type="containsText" dxfId="19" priority="78" operator="containsText" text="No reciente">
      <formula>NOT(ISERROR(SEARCH("No reciente",L97)))</formula>
    </cfRule>
    <cfRule type="cellIs" dxfId="18" priority="76" operator="between">
      <formula>1</formula>
      <formula>197</formula>
    </cfRule>
    <cfRule type="containsText" dxfId="17" priority="77" operator="containsText" text="Listo">
      <formula>NOT(ISERROR(SEARCH("Listo",L97)))</formula>
    </cfRule>
    <cfRule type="containsText" dxfId="16" priority="79" operator="containsText" text="No encontrado">
      <formula>NOT(ISERROR(SEARCH("No encontrado",L97)))</formula>
    </cfRule>
    <cfRule type="containsText" dxfId="15" priority="80" operator="containsText" text="Reciente">
      <formula>NOT(ISERROR(SEARCH("Reciente",L97)))</formula>
    </cfRule>
  </conditionalFormatting>
  <conditionalFormatting sqref="L105:M105">
    <cfRule type="containsText" dxfId="14" priority="30" operator="containsText" text="Reciente">
      <formula>NOT(ISERROR(SEARCH("Reciente",L105)))</formula>
    </cfRule>
    <cfRule type="containsText" dxfId="13" priority="29" operator="containsText" text="No encontrado">
      <formula>NOT(ISERROR(SEARCH("No encontrado",L105)))</formula>
    </cfRule>
    <cfRule type="containsText" dxfId="12" priority="28" operator="containsText" text="No reciente">
      <formula>NOT(ISERROR(SEARCH("No reciente",L105)))</formula>
    </cfRule>
    <cfRule type="containsText" dxfId="11" priority="27" operator="containsText" text="Listo">
      <formula>NOT(ISERROR(SEARCH("Listo",L105)))</formula>
    </cfRule>
    <cfRule type="cellIs" dxfId="10" priority="26" operator="between">
      <formula>1</formula>
      <formula>197</formula>
    </cfRule>
  </conditionalFormatting>
  <conditionalFormatting sqref="L111:M111 L113:M113 L115:M115 L117:M117 L119:M121 L123:M123 L125:M125 L127:M127 L129:M129 L131:M133 L135:M135 L137:M137 L139:M139 L141:M141 L145:M147 L149:M149 L151:M151 L153:M153 L155:M155">
    <cfRule type="cellIs" dxfId="9" priority="81" operator="between">
      <formula>1</formula>
      <formula>197</formula>
    </cfRule>
    <cfRule type="containsText" dxfId="8" priority="82" operator="containsText" text="Listo">
      <formula>NOT(ISERROR(SEARCH("Listo",L111)))</formula>
    </cfRule>
    <cfRule type="containsText" dxfId="7" priority="85" operator="containsText" text="No reciente">
      <formula>NOT(ISERROR(SEARCH("No reciente",L111)))</formula>
    </cfRule>
    <cfRule type="containsText" dxfId="6" priority="86" operator="containsText" text="No encontrado">
      <formula>NOT(ISERROR(SEARCH("No encontrado",L111)))</formula>
    </cfRule>
    <cfRule type="containsText" dxfId="5" priority="87" operator="containsText" text="Reciente">
      <formula>NOT(ISERROR(SEARCH("Reciente",L111)))</formula>
    </cfRule>
  </conditionalFormatting>
  <conditionalFormatting sqref="L143:M143">
    <cfRule type="containsText" dxfId="4" priority="25" operator="containsText" text="Reciente">
      <formula>NOT(ISERROR(SEARCH("Reciente",L143)))</formula>
    </cfRule>
    <cfRule type="containsText" dxfId="3" priority="24" operator="containsText" text="No encontrado">
      <formula>NOT(ISERROR(SEARCH("No encontrado",L143)))</formula>
    </cfRule>
    <cfRule type="containsText" dxfId="2" priority="23" operator="containsText" text="No reciente">
      <formula>NOT(ISERROR(SEARCH("No reciente",L143)))</formula>
    </cfRule>
    <cfRule type="containsText" dxfId="1" priority="22" operator="containsText" text="Listo">
      <formula>NOT(ISERROR(SEARCH("Listo",L143)))</formula>
    </cfRule>
    <cfRule type="cellIs" dxfId="0" priority="21" operator="between">
      <formula>1</formula>
      <formula>197</formula>
    </cfRule>
  </conditionalFormatting>
  <pageMargins left="0.25" right="0.25" top="0.46527777777777779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0BC87-F030-459E-995E-0027FE6BDA7C}">
  <dimension ref="A1:M184"/>
  <sheetViews>
    <sheetView zoomScale="90" zoomScaleNormal="90" workbookViewId="0">
      <selection activeCell="S141" sqref="S141"/>
    </sheetView>
  </sheetViews>
  <sheetFormatPr baseColWidth="10" defaultColWidth="10.88671875" defaultRowHeight="14.4" x14ac:dyDescent="0.3"/>
  <cols>
    <col min="1" max="1" width="2.77734375" customWidth="1"/>
    <col min="3" max="3" width="18.77734375" customWidth="1"/>
    <col min="5" max="5" width="27.5546875" customWidth="1"/>
    <col min="6" max="6" width="12.21875" customWidth="1"/>
    <col min="7" max="7" width="13.21875" bestFit="1" customWidth="1"/>
    <col min="8" max="8" width="10.21875" customWidth="1"/>
    <col min="9" max="9" width="2.77734375" customWidth="1"/>
    <col min="10" max="10" width="18.77734375" customWidth="1"/>
    <col min="11" max="11" width="8.77734375" customWidth="1"/>
    <col min="13" max="13" width="11.77734375" customWidth="1"/>
  </cols>
  <sheetData>
    <row r="1" spans="1:13" s="19" customFormat="1" x14ac:dyDescent="0.3"/>
    <row r="2" spans="1:13" ht="25.8" x14ac:dyDescent="0.5">
      <c r="A2" s="20"/>
      <c r="B2" s="27"/>
      <c r="C2" s="27"/>
      <c r="D2" s="311" t="s">
        <v>317</v>
      </c>
      <c r="E2" s="311"/>
      <c r="F2" s="27"/>
      <c r="G2" s="27"/>
      <c r="H2" s="27"/>
      <c r="J2" s="312" t="s">
        <v>312</v>
      </c>
      <c r="K2" s="313"/>
      <c r="L2" s="313"/>
      <c r="M2" s="313"/>
    </row>
    <row r="3" spans="1:13" ht="18" x14ac:dyDescent="0.35">
      <c r="D3" s="314" t="s">
        <v>318</v>
      </c>
      <c r="E3" s="315"/>
    </row>
    <row r="5" spans="1:13" ht="23.4" x14ac:dyDescent="0.45">
      <c r="A5" s="5"/>
      <c r="B5" s="24"/>
      <c r="C5" s="25"/>
      <c r="D5" s="281" t="s">
        <v>310</v>
      </c>
      <c r="E5" s="281"/>
      <c r="F5" s="25"/>
      <c r="G5" s="26"/>
      <c r="H5" s="26"/>
    </row>
    <row r="6" spans="1:13" s="21" customFormat="1" ht="15.6" customHeight="1" x14ac:dyDescent="0.3">
      <c r="B6" s="271" t="s">
        <v>319</v>
      </c>
      <c r="C6" s="272"/>
      <c r="D6" s="73" t="s">
        <v>420</v>
      </c>
      <c r="E6" s="73"/>
      <c r="F6" s="66" t="s">
        <v>393</v>
      </c>
      <c r="G6" s="286" t="s">
        <v>424</v>
      </c>
      <c r="H6" s="287"/>
    </row>
    <row r="7" spans="1:13" s="21" customFormat="1" ht="33" customHeight="1" x14ac:dyDescent="0.3">
      <c r="B7" s="274" t="s">
        <v>320</v>
      </c>
      <c r="C7" s="275"/>
      <c r="D7" s="320" t="s">
        <v>421</v>
      </c>
      <c r="E7" s="321"/>
      <c r="F7" s="321"/>
      <c r="G7" s="321"/>
      <c r="H7" s="322"/>
    </row>
    <row r="8" spans="1:13" ht="21" x14ac:dyDescent="0.4">
      <c r="B8" s="251" t="str">
        <f>'Nos visitan 2026'!C6</f>
        <v>Discursante</v>
      </c>
      <c r="C8" s="251"/>
      <c r="D8" s="251" t="s">
        <v>127</v>
      </c>
      <c r="E8" s="251"/>
      <c r="F8" s="28" t="s">
        <v>308</v>
      </c>
      <c r="G8" s="29" t="s">
        <v>313</v>
      </c>
      <c r="H8" s="30" t="s">
        <v>306</v>
      </c>
      <c r="J8" s="31" t="s">
        <v>314</v>
      </c>
      <c r="K8" s="31" t="s">
        <v>315</v>
      </c>
      <c r="L8" s="310" t="s">
        <v>316</v>
      </c>
      <c r="M8" s="310"/>
    </row>
    <row r="9" spans="1:13" ht="15.6" x14ac:dyDescent="0.3">
      <c r="B9" s="169"/>
      <c r="C9" s="327"/>
      <c r="D9" s="316" t="s">
        <v>359</v>
      </c>
      <c r="E9" s="317"/>
      <c r="F9" s="268"/>
      <c r="G9" s="142"/>
      <c r="H9" s="144">
        <v>45298</v>
      </c>
      <c r="J9" s="177"/>
      <c r="K9" s="202"/>
      <c r="L9" s="300"/>
      <c r="M9" s="203"/>
    </row>
    <row r="10" spans="1:13" ht="15.6" x14ac:dyDescent="0.3">
      <c r="B10" s="167"/>
      <c r="C10" s="325"/>
      <c r="D10" s="318"/>
      <c r="E10" s="319"/>
      <c r="F10" s="270"/>
      <c r="G10" s="145"/>
      <c r="H10" s="145"/>
      <c r="J10" s="178"/>
      <c r="K10" s="204"/>
      <c r="L10" s="301"/>
      <c r="M10" s="205"/>
    </row>
    <row r="11" spans="1:13" ht="15.6" x14ac:dyDescent="0.3">
      <c r="B11" s="323" t="s">
        <v>422</v>
      </c>
      <c r="C11" s="326"/>
      <c r="D11" s="265" t="s">
        <v>423</v>
      </c>
      <c r="E11" s="242"/>
      <c r="F11" s="245"/>
      <c r="G11" s="280">
        <v>0.58333333333333337</v>
      </c>
      <c r="H11" s="247">
        <v>45305</v>
      </c>
      <c r="J11" s="255"/>
      <c r="K11" s="257"/>
      <c r="L11" s="258"/>
      <c r="M11" s="259"/>
    </row>
    <row r="12" spans="1:13" ht="15.6" x14ac:dyDescent="0.3">
      <c r="B12" s="263"/>
      <c r="C12" s="264"/>
      <c r="D12" s="266"/>
      <c r="E12" s="244"/>
      <c r="F12" s="246"/>
      <c r="G12" s="248"/>
      <c r="H12" s="248"/>
      <c r="J12" s="256"/>
      <c r="K12" s="260"/>
      <c r="L12" s="261"/>
      <c r="M12" s="262"/>
    </row>
    <row r="13" spans="1:13" ht="15.6" x14ac:dyDescent="0.3">
      <c r="B13" s="140" t="s">
        <v>425</v>
      </c>
      <c r="C13" s="141"/>
      <c r="D13" s="267" t="s">
        <v>185</v>
      </c>
      <c r="E13" s="268"/>
      <c r="F13" s="161"/>
      <c r="G13" s="142">
        <v>0.58333333333333337</v>
      </c>
      <c r="H13" s="144">
        <v>45312</v>
      </c>
      <c r="J13" s="177"/>
      <c r="K13" s="202"/>
      <c r="L13" s="300"/>
      <c r="M13" s="203"/>
    </row>
    <row r="14" spans="1:13" ht="15.6" x14ac:dyDescent="0.3">
      <c r="B14" s="167"/>
      <c r="C14" s="168"/>
      <c r="D14" s="269"/>
      <c r="E14" s="270"/>
      <c r="F14" s="162"/>
      <c r="G14" s="145"/>
      <c r="H14" s="145"/>
      <c r="J14" s="178"/>
      <c r="K14" s="204"/>
      <c r="L14" s="301"/>
      <c r="M14" s="205"/>
    </row>
    <row r="15" spans="1:13" ht="15.6" x14ac:dyDescent="0.3">
      <c r="B15" s="323" t="s">
        <v>426</v>
      </c>
      <c r="C15" s="324"/>
      <c r="D15" s="254" t="s">
        <v>342</v>
      </c>
      <c r="E15" s="242"/>
      <c r="F15" s="245"/>
      <c r="G15" s="280">
        <v>0.58333333333333304</v>
      </c>
      <c r="H15" s="247">
        <v>45319</v>
      </c>
      <c r="J15" s="255"/>
      <c r="K15" s="257"/>
      <c r="L15" s="258"/>
      <c r="M15" s="259"/>
    </row>
    <row r="16" spans="1:13" ht="15.6" x14ac:dyDescent="0.3">
      <c r="B16" s="263"/>
      <c r="C16" s="264"/>
      <c r="D16" s="243"/>
      <c r="E16" s="244"/>
      <c r="F16" s="246"/>
      <c r="G16" s="248"/>
      <c r="H16" s="248"/>
      <c r="J16" s="256"/>
      <c r="K16" s="260"/>
      <c r="L16" s="261"/>
      <c r="M16" s="262"/>
    </row>
    <row r="19" spans="2:13" ht="23.4" x14ac:dyDescent="0.45">
      <c r="B19" s="24"/>
      <c r="C19" s="25"/>
      <c r="D19" s="281" t="s">
        <v>311</v>
      </c>
      <c r="E19" s="281"/>
      <c r="F19" s="25"/>
      <c r="G19" s="26"/>
      <c r="H19" s="26"/>
    </row>
    <row r="20" spans="2:13" ht="18" x14ac:dyDescent="0.3">
      <c r="B20" s="271" t="s">
        <v>319</v>
      </c>
      <c r="C20" s="272"/>
      <c r="D20" s="273" t="s">
        <v>445</v>
      </c>
      <c r="E20" s="273"/>
      <c r="F20" s="66" t="s">
        <v>393</v>
      </c>
      <c r="G20" s="286" t="s">
        <v>429</v>
      </c>
      <c r="H20" s="287"/>
      <c r="I20" s="21"/>
      <c r="J20" s="21"/>
      <c r="K20" s="21"/>
      <c r="L20" s="21"/>
      <c r="M20" s="21"/>
    </row>
    <row r="21" spans="2:13" ht="18" x14ac:dyDescent="0.3">
      <c r="B21" s="274" t="s">
        <v>320</v>
      </c>
      <c r="C21" s="275"/>
      <c r="D21" s="252" t="s">
        <v>446</v>
      </c>
      <c r="E21" s="252"/>
      <c r="F21" s="252"/>
      <c r="G21" s="252"/>
      <c r="H21" s="23"/>
      <c r="I21" s="21"/>
      <c r="J21" s="21"/>
      <c r="K21" s="21"/>
      <c r="L21" s="21"/>
      <c r="M21" s="21"/>
    </row>
    <row r="22" spans="2:13" ht="21" x14ac:dyDescent="0.4">
      <c r="B22" s="249" t="s">
        <v>307</v>
      </c>
      <c r="C22" s="250"/>
      <c r="D22" s="251" t="s">
        <v>127</v>
      </c>
      <c r="E22" s="251"/>
      <c r="F22" s="28" t="s">
        <v>308</v>
      </c>
      <c r="G22" s="29" t="s">
        <v>313</v>
      </c>
      <c r="H22" s="30" t="s">
        <v>306</v>
      </c>
      <c r="J22" s="31" t="s">
        <v>314</v>
      </c>
      <c r="K22" s="31" t="s">
        <v>315</v>
      </c>
      <c r="L22" s="310" t="s">
        <v>316</v>
      </c>
      <c r="M22" s="310"/>
    </row>
    <row r="23" spans="2:13" ht="15.6" x14ac:dyDescent="0.3">
      <c r="B23" s="169"/>
      <c r="C23" s="199"/>
      <c r="D23" s="278"/>
      <c r="E23" s="268"/>
      <c r="F23" s="268"/>
      <c r="G23" s="144"/>
      <c r="H23" s="144">
        <v>45326</v>
      </c>
      <c r="J23" s="177"/>
      <c r="K23" s="202"/>
      <c r="L23" s="300"/>
      <c r="M23" s="203"/>
    </row>
    <row r="24" spans="2:13" ht="15.6" x14ac:dyDescent="0.3">
      <c r="B24" s="167"/>
      <c r="C24" s="168"/>
      <c r="D24" s="279"/>
      <c r="E24" s="270"/>
      <c r="F24" s="270"/>
      <c r="G24" s="145"/>
      <c r="H24" s="145"/>
      <c r="J24" s="178"/>
      <c r="K24" s="204"/>
      <c r="L24" s="301"/>
      <c r="M24" s="205"/>
    </row>
    <row r="25" spans="2:13" ht="15.6" x14ac:dyDescent="0.3">
      <c r="B25" s="239"/>
      <c r="C25" s="240"/>
      <c r="D25" s="265"/>
      <c r="E25" s="242"/>
      <c r="F25" s="245"/>
      <c r="G25" s="280"/>
      <c r="H25" s="247">
        <v>45333</v>
      </c>
      <c r="J25" s="255"/>
      <c r="K25" s="257"/>
      <c r="L25" s="258"/>
      <c r="M25" s="259"/>
    </row>
    <row r="26" spans="2:13" ht="15.6" x14ac:dyDescent="0.3">
      <c r="B26" s="263"/>
      <c r="C26" s="264"/>
      <c r="D26" s="266"/>
      <c r="E26" s="244"/>
      <c r="F26" s="246"/>
      <c r="G26" s="248"/>
      <c r="H26" s="248"/>
      <c r="J26" s="256"/>
      <c r="K26" s="260"/>
      <c r="L26" s="261"/>
      <c r="M26" s="262"/>
    </row>
    <row r="27" spans="2:13" ht="15.6" x14ac:dyDescent="0.3">
      <c r="B27" s="169" t="s">
        <v>331</v>
      </c>
      <c r="C27" s="199"/>
      <c r="D27" s="163" t="s">
        <v>282</v>
      </c>
      <c r="E27" s="164"/>
      <c r="F27" s="161"/>
      <c r="G27" s="173">
        <v>0.375</v>
      </c>
      <c r="H27" s="144">
        <v>45340</v>
      </c>
      <c r="J27" s="177"/>
      <c r="K27" s="202"/>
      <c r="L27" s="300"/>
      <c r="M27" s="203"/>
    </row>
    <row r="28" spans="2:13" ht="15.6" x14ac:dyDescent="0.3">
      <c r="B28" s="167"/>
      <c r="C28" s="168"/>
      <c r="D28" s="165"/>
      <c r="E28" s="166"/>
      <c r="F28" s="162"/>
      <c r="G28" s="176"/>
      <c r="H28" s="145"/>
      <c r="J28" s="178"/>
      <c r="K28" s="204"/>
      <c r="L28" s="301"/>
      <c r="M28" s="205"/>
    </row>
    <row r="29" spans="2:13" ht="15.6" x14ac:dyDescent="0.3">
      <c r="B29" s="239" t="s">
        <v>329</v>
      </c>
      <c r="C29" s="240"/>
      <c r="D29" s="254" t="s">
        <v>347</v>
      </c>
      <c r="E29" s="242"/>
      <c r="F29" s="245"/>
      <c r="G29" s="280">
        <v>0.375</v>
      </c>
      <c r="H29" s="247">
        <v>45347</v>
      </c>
      <c r="J29" s="255"/>
      <c r="K29" s="257"/>
      <c r="L29" s="258"/>
      <c r="M29" s="259"/>
    </row>
    <row r="30" spans="2:13" ht="15.6" x14ac:dyDescent="0.3">
      <c r="B30" s="263"/>
      <c r="C30" s="264"/>
      <c r="D30" s="243"/>
      <c r="E30" s="244"/>
      <c r="F30" s="246"/>
      <c r="G30" s="248"/>
      <c r="H30" s="248"/>
      <c r="J30" s="256"/>
      <c r="K30" s="260"/>
      <c r="L30" s="261"/>
      <c r="M30" s="262"/>
    </row>
    <row r="33" spans="2:13" ht="23.4" x14ac:dyDescent="0.45">
      <c r="B33" s="24"/>
      <c r="C33" s="25"/>
      <c r="D33" s="281" t="s">
        <v>338</v>
      </c>
      <c r="E33" s="281"/>
      <c r="F33" s="25"/>
      <c r="G33" s="26"/>
      <c r="H33" s="26"/>
    </row>
    <row r="34" spans="2:13" ht="18" x14ac:dyDescent="0.3">
      <c r="B34" s="271" t="s">
        <v>319</v>
      </c>
      <c r="C34" s="272"/>
      <c r="D34" s="273" t="s">
        <v>445</v>
      </c>
      <c r="E34" s="273"/>
      <c r="F34" s="66" t="s">
        <v>393</v>
      </c>
      <c r="G34" s="286" t="s">
        <v>449</v>
      </c>
      <c r="H34" s="287"/>
      <c r="I34" s="21"/>
      <c r="J34" s="21"/>
      <c r="K34" s="21"/>
      <c r="L34" s="21"/>
      <c r="M34" s="21"/>
    </row>
    <row r="35" spans="2:13" ht="18" x14ac:dyDescent="0.3">
      <c r="B35" s="274" t="s">
        <v>320</v>
      </c>
      <c r="C35" s="275"/>
      <c r="D35" s="307" t="s">
        <v>448</v>
      </c>
      <c r="E35" s="307"/>
      <c r="F35" s="307"/>
      <c r="G35" s="307"/>
      <c r="H35" s="308"/>
      <c r="I35" s="21"/>
      <c r="J35" s="21"/>
      <c r="K35" s="21"/>
      <c r="L35" s="21"/>
      <c r="M35" s="21"/>
    </row>
    <row r="36" spans="2:13" ht="21" x14ac:dyDescent="0.4">
      <c r="B36" s="249" t="s">
        <v>307</v>
      </c>
      <c r="C36" s="250"/>
      <c r="D36" s="251" t="s">
        <v>127</v>
      </c>
      <c r="E36" s="251"/>
      <c r="F36" s="28" t="s">
        <v>308</v>
      </c>
      <c r="G36" s="29" t="s">
        <v>313</v>
      </c>
      <c r="H36" s="30" t="s">
        <v>306</v>
      </c>
      <c r="J36" s="31" t="s">
        <v>314</v>
      </c>
      <c r="K36" s="31" t="s">
        <v>315</v>
      </c>
      <c r="L36" s="310" t="s">
        <v>316</v>
      </c>
      <c r="M36" s="310"/>
    </row>
    <row r="37" spans="2:13" ht="15.6" customHeight="1" x14ac:dyDescent="0.3">
      <c r="B37" s="169" t="s">
        <v>450</v>
      </c>
      <c r="C37" s="199"/>
      <c r="D37" s="200" t="s">
        <v>348</v>
      </c>
      <c r="E37" s="164"/>
      <c r="F37" s="268"/>
      <c r="G37" s="142">
        <v>0.66666666666666663</v>
      </c>
      <c r="H37" s="144">
        <v>45352</v>
      </c>
      <c r="J37" s="177"/>
      <c r="K37" s="202"/>
      <c r="L37" s="300"/>
      <c r="M37" s="203"/>
    </row>
    <row r="38" spans="2:13" ht="15.6" x14ac:dyDescent="0.3">
      <c r="B38" s="167"/>
      <c r="C38" s="168"/>
      <c r="D38" s="201"/>
      <c r="E38" s="166"/>
      <c r="F38" s="270"/>
      <c r="G38" s="145"/>
      <c r="H38" s="145"/>
      <c r="J38" s="178"/>
      <c r="K38" s="204"/>
      <c r="L38" s="301"/>
      <c r="M38" s="205"/>
    </row>
    <row r="39" spans="2:13" ht="15.6" x14ac:dyDescent="0.3">
      <c r="B39" s="239" t="s">
        <v>436</v>
      </c>
      <c r="C39" s="240"/>
      <c r="D39" s="290" t="s">
        <v>110</v>
      </c>
      <c r="E39" s="283"/>
      <c r="F39" s="245">
        <v>36</v>
      </c>
      <c r="G39" s="280">
        <v>0.66666666666666663</v>
      </c>
      <c r="H39" s="247">
        <v>45359</v>
      </c>
      <c r="J39" s="255"/>
      <c r="K39" s="257"/>
      <c r="L39" s="258"/>
      <c r="M39" s="259"/>
    </row>
    <row r="40" spans="2:13" ht="15.6" x14ac:dyDescent="0.3">
      <c r="B40" s="263"/>
      <c r="C40" s="264"/>
      <c r="D40" s="284"/>
      <c r="E40" s="285"/>
      <c r="F40" s="246"/>
      <c r="G40" s="248"/>
      <c r="H40" s="248"/>
      <c r="J40" s="256"/>
      <c r="K40" s="260"/>
      <c r="L40" s="261"/>
      <c r="M40" s="262"/>
    </row>
    <row r="41" spans="2:13" ht="15.6" x14ac:dyDescent="0.3">
      <c r="B41" s="169" t="s">
        <v>451</v>
      </c>
      <c r="C41" s="199"/>
      <c r="D41" s="200" t="s">
        <v>282</v>
      </c>
      <c r="E41" s="164"/>
      <c r="F41" s="161">
        <v>98</v>
      </c>
      <c r="G41" s="142">
        <v>0.66666666666666696</v>
      </c>
      <c r="H41" s="144">
        <v>45366</v>
      </c>
      <c r="J41" s="177"/>
      <c r="K41" s="202"/>
      <c r="L41" s="300"/>
      <c r="M41" s="203"/>
    </row>
    <row r="42" spans="2:13" ht="15.6" x14ac:dyDescent="0.3">
      <c r="B42" s="167"/>
      <c r="C42" s="168"/>
      <c r="D42" s="201"/>
      <c r="E42" s="166"/>
      <c r="F42" s="162"/>
      <c r="G42" s="145"/>
      <c r="H42" s="145"/>
      <c r="J42" s="178"/>
      <c r="K42" s="204"/>
      <c r="L42" s="301"/>
      <c r="M42" s="205"/>
    </row>
    <row r="43" spans="2:13" ht="15.6" x14ac:dyDescent="0.3">
      <c r="B43" s="239"/>
      <c r="C43" s="240"/>
      <c r="D43" s="241" t="s">
        <v>447</v>
      </c>
      <c r="E43" s="242"/>
      <c r="F43" s="245"/>
      <c r="G43" s="280">
        <v>0.66666666666666696</v>
      </c>
      <c r="H43" s="247">
        <v>45373</v>
      </c>
      <c r="J43" s="255"/>
      <c r="K43" s="257"/>
      <c r="L43" s="258"/>
      <c r="M43" s="259"/>
    </row>
    <row r="44" spans="2:13" ht="15.6" x14ac:dyDescent="0.3">
      <c r="B44" s="263"/>
      <c r="C44" s="264"/>
      <c r="D44" s="243"/>
      <c r="E44" s="244"/>
      <c r="F44" s="246"/>
      <c r="G44" s="248"/>
      <c r="H44" s="248"/>
      <c r="J44" s="256"/>
      <c r="K44" s="260"/>
      <c r="L44" s="261"/>
      <c r="M44" s="262"/>
    </row>
    <row r="45" spans="2:13" ht="15.6" x14ac:dyDescent="0.3">
      <c r="B45" s="169"/>
      <c r="C45" s="199"/>
      <c r="D45" s="316" t="s">
        <v>359</v>
      </c>
      <c r="E45" s="268"/>
      <c r="F45" s="161"/>
      <c r="G45" s="142">
        <v>0.66666666666666696</v>
      </c>
      <c r="H45" s="144">
        <v>45380</v>
      </c>
      <c r="J45" s="177"/>
      <c r="K45" s="202"/>
      <c r="L45" s="300"/>
      <c r="M45" s="203"/>
    </row>
    <row r="46" spans="2:13" ht="15.6" x14ac:dyDescent="0.3">
      <c r="B46" s="167"/>
      <c r="C46" s="168"/>
      <c r="D46" s="279"/>
      <c r="E46" s="270"/>
      <c r="F46" s="162"/>
      <c r="G46" s="145"/>
      <c r="H46" s="145"/>
      <c r="J46" s="178"/>
      <c r="K46" s="204"/>
      <c r="L46" s="301"/>
      <c r="M46" s="205"/>
    </row>
    <row r="49" spans="2:13" ht="23.4" x14ac:dyDescent="0.45">
      <c r="B49" s="24"/>
      <c r="C49" s="25"/>
      <c r="D49" s="281" t="s">
        <v>350</v>
      </c>
      <c r="E49" s="281"/>
      <c r="F49" s="25"/>
      <c r="G49" s="26"/>
      <c r="H49" s="26"/>
    </row>
    <row r="50" spans="2:13" ht="18" x14ac:dyDescent="0.3">
      <c r="B50" s="271" t="s">
        <v>319</v>
      </c>
      <c r="C50" s="272"/>
      <c r="D50" s="273" t="s">
        <v>396</v>
      </c>
      <c r="E50" s="273"/>
      <c r="F50" s="66" t="s">
        <v>393</v>
      </c>
      <c r="G50" s="286" t="s">
        <v>430</v>
      </c>
      <c r="H50" s="287"/>
      <c r="I50" s="21"/>
      <c r="J50" s="21"/>
      <c r="K50" s="21"/>
      <c r="L50" s="21"/>
      <c r="M50" s="21"/>
    </row>
    <row r="51" spans="2:13" ht="18" x14ac:dyDescent="0.3">
      <c r="B51" s="274" t="s">
        <v>320</v>
      </c>
      <c r="C51" s="275"/>
      <c r="D51" s="252" t="s">
        <v>428</v>
      </c>
      <c r="E51" s="252"/>
      <c r="F51" s="252"/>
      <c r="G51" s="252"/>
      <c r="H51" s="253"/>
      <c r="I51" s="21"/>
      <c r="J51" s="21"/>
      <c r="K51" s="21"/>
      <c r="L51" s="21"/>
      <c r="M51" s="21"/>
    </row>
    <row r="52" spans="2:13" ht="21" x14ac:dyDescent="0.4">
      <c r="B52" s="249" t="s">
        <v>307</v>
      </c>
      <c r="C52" s="250"/>
      <c r="D52" s="251" t="s">
        <v>127</v>
      </c>
      <c r="E52" s="251"/>
      <c r="F52" s="28" t="s">
        <v>308</v>
      </c>
      <c r="G52" s="29" t="s">
        <v>313</v>
      </c>
      <c r="H52" s="30" t="s">
        <v>306</v>
      </c>
      <c r="J52" s="31" t="s">
        <v>314</v>
      </c>
      <c r="K52" s="31" t="s">
        <v>315</v>
      </c>
      <c r="L52" s="310" t="s">
        <v>316</v>
      </c>
      <c r="M52" s="310"/>
    </row>
    <row r="53" spans="2:13" ht="15.6" x14ac:dyDescent="0.3">
      <c r="B53" s="239"/>
      <c r="C53" s="240"/>
      <c r="D53" s="282" t="s">
        <v>359</v>
      </c>
      <c r="E53" s="283"/>
      <c r="F53" s="245"/>
      <c r="G53" s="280">
        <v>0.79166666666666663</v>
      </c>
      <c r="H53" s="247">
        <v>44658</v>
      </c>
      <c r="J53" s="177"/>
      <c r="K53" s="202"/>
      <c r="L53" s="300"/>
      <c r="M53" s="203"/>
    </row>
    <row r="54" spans="2:13" ht="15.6" x14ac:dyDescent="0.3">
      <c r="B54" s="263"/>
      <c r="C54" s="264"/>
      <c r="D54" s="284"/>
      <c r="E54" s="285"/>
      <c r="F54" s="246"/>
      <c r="G54" s="248"/>
      <c r="H54" s="248"/>
      <c r="J54" s="178"/>
      <c r="K54" s="204"/>
      <c r="L54" s="301"/>
      <c r="M54" s="205"/>
    </row>
    <row r="55" spans="2:13" ht="15.6" x14ac:dyDescent="0.3">
      <c r="B55" s="169" t="s">
        <v>356</v>
      </c>
      <c r="C55" s="199"/>
      <c r="D55" s="163"/>
      <c r="E55" s="164"/>
      <c r="F55" s="161"/>
      <c r="G55" s="142">
        <v>0.79166666666666696</v>
      </c>
      <c r="H55" s="144">
        <v>44665</v>
      </c>
      <c r="J55" s="255"/>
      <c r="K55" s="257"/>
      <c r="L55" s="258"/>
      <c r="M55" s="259"/>
    </row>
    <row r="56" spans="2:13" ht="15.6" x14ac:dyDescent="0.3">
      <c r="B56" s="167"/>
      <c r="C56" s="168"/>
      <c r="D56" s="165"/>
      <c r="E56" s="166"/>
      <c r="F56" s="162"/>
      <c r="G56" s="145"/>
      <c r="H56" s="145"/>
      <c r="J56" s="256"/>
      <c r="K56" s="260"/>
      <c r="L56" s="261"/>
      <c r="M56" s="262"/>
    </row>
    <row r="57" spans="2:13" ht="15.6" x14ac:dyDescent="0.3">
      <c r="B57" s="239" t="s">
        <v>321</v>
      </c>
      <c r="C57" s="240"/>
      <c r="D57" s="288"/>
      <c r="E57" s="283"/>
      <c r="F57" s="245"/>
      <c r="G57" s="280">
        <v>0.79166666666666663</v>
      </c>
      <c r="H57" s="247">
        <v>44672</v>
      </c>
      <c r="J57" s="177"/>
      <c r="K57" s="202"/>
      <c r="L57" s="300"/>
      <c r="M57" s="203"/>
    </row>
    <row r="58" spans="2:13" ht="15.6" x14ac:dyDescent="0.3">
      <c r="B58" s="263"/>
      <c r="C58" s="264"/>
      <c r="D58" s="289"/>
      <c r="E58" s="285"/>
      <c r="F58" s="246"/>
      <c r="G58" s="248"/>
      <c r="H58" s="248"/>
      <c r="J58" s="178"/>
      <c r="K58" s="204"/>
      <c r="L58" s="301"/>
      <c r="M58" s="205"/>
    </row>
    <row r="59" spans="2:13" ht="15.6" x14ac:dyDescent="0.3">
      <c r="B59" s="169" t="s">
        <v>331</v>
      </c>
      <c r="C59" s="199"/>
      <c r="D59" s="163"/>
      <c r="E59" s="164"/>
      <c r="F59" s="161"/>
      <c r="G59" s="142">
        <v>0.79166666666666696</v>
      </c>
      <c r="H59" s="144">
        <v>44679</v>
      </c>
      <c r="J59" s="255"/>
      <c r="K59" s="257"/>
      <c r="L59" s="258"/>
      <c r="M59" s="259"/>
    </row>
    <row r="60" spans="2:13" ht="15.6" x14ac:dyDescent="0.3">
      <c r="B60" s="167"/>
      <c r="C60" s="168"/>
      <c r="D60" s="165"/>
      <c r="E60" s="166"/>
      <c r="F60" s="162"/>
      <c r="G60" s="145"/>
      <c r="H60" s="145"/>
      <c r="J60" s="256"/>
      <c r="K60" s="260"/>
      <c r="L60" s="261"/>
      <c r="M60" s="262"/>
    </row>
    <row r="61" spans="2:13" ht="15.6" x14ac:dyDescent="0.3">
      <c r="B61" s="239" t="s">
        <v>355</v>
      </c>
      <c r="C61" s="240"/>
      <c r="D61" s="290"/>
      <c r="E61" s="283"/>
      <c r="F61" s="245"/>
      <c r="G61" s="280">
        <v>0.79166666666666663</v>
      </c>
      <c r="H61" s="247">
        <v>44686</v>
      </c>
      <c r="J61" s="177"/>
      <c r="K61" s="202"/>
      <c r="L61" s="300"/>
      <c r="M61" s="203"/>
    </row>
    <row r="62" spans="2:13" ht="15.6" x14ac:dyDescent="0.3">
      <c r="B62" s="263"/>
      <c r="C62" s="264"/>
      <c r="D62" s="284"/>
      <c r="E62" s="285"/>
      <c r="F62" s="246"/>
      <c r="G62" s="248"/>
      <c r="H62" s="248"/>
      <c r="J62" s="178"/>
      <c r="K62" s="204"/>
      <c r="L62" s="301"/>
      <c r="M62" s="205"/>
    </row>
    <row r="65" spans="2:13" ht="23.4" x14ac:dyDescent="0.45">
      <c r="B65" s="24"/>
      <c r="C65" s="25"/>
      <c r="D65" s="281" t="s">
        <v>352</v>
      </c>
      <c r="E65" s="281"/>
      <c r="F65" s="25"/>
      <c r="G65" s="26"/>
      <c r="H65" s="26"/>
    </row>
    <row r="66" spans="2:13" ht="18" x14ac:dyDescent="0.3">
      <c r="B66" s="271" t="s">
        <v>319</v>
      </c>
      <c r="C66" s="272"/>
      <c r="D66" s="273" t="s">
        <v>397</v>
      </c>
      <c r="E66" s="273"/>
      <c r="F66" s="66" t="s">
        <v>393</v>
      </c>
      <c r="G66" s="286" t="s">
        <v>460</v>
      </c>
      <c r="H66" s="287"/>
    </row>
    <row r="67" spans="2:13" ht="18" customHeight="1" x14ac:dyDescent="0.3">
      <c r="B67" s="274" t="s">
        <v>320</v>
      </c>
      <c r="C67" s="275"/>
      <c r="D67" s="291" t="s">
        <v>461</v>
      </c>
      <c r="E67" s="291"/>
      <c r="F67" s="291"/>
      <c r="G67" s="291"/>
      <c r="H67" s="309"/>
    </row>
    <row r="68" spans="2:13" ht="21" x14ac:dyDescent="0.4">
      <c r="B68" s="249" t="s">
        <v>307</v>
      </c>
      <c r="C68" s="250"/>
      <c r="D68" s="251" t="s">
        <v>127</v>
      </c>
      <c r="E68" s="251"/>
      <c r="F68" s="28" t="s">
        <v>308</v>
      </c>
      <c r="G68" s="29" t="s">
        <v>313</v>
      </c>
      <c r="H68" s="30" t="s">
        <v>306</v>
      </c>
      <c r="I68" s="21"/>
      <c r="J68" s="31" t="s">
        <v>314</v>
      </c>
      <c r="K68" s="31" t="s">
        <v>315</v>
      </c>
      <c r="L68" s="276" t="s">
        <v>316</v>
      </c>
      <c r="M68" s="277"/>
    </row>
    <row r="69" spans="2:13" ht="15.6" x14ac:dyDescent="0.3">
      <c r="B69" s="169"/>
      <c r="C69" s="199"/>
      <c r="D69" s="302" t="s">
        <v>462</v>
      </c>
      <c r="E69" s="303"/>
      <c r="F69" s="304"/>
      <c r="G69" s="305">
        <v>0.66666666666666663</v>
      </c>
      <c r="H69" s="306">
        <v>45050</v>
      </c>
      <c r="I69" s="21"/>
      <c r="J69" s="177"/>
      <c r="K69" s="202"/>
      <c r="L69" s="300"/>
      <c r="M69" s="203"/>
    </row>
    <row r="70" spans="2:13" ht="15.6" x14ac:dyDescent="0.3">
      <c r="B70" s="167"/>
      <c r="C70" s="168"/>
      <c r="D70" s="201"/>
      <c r="E70" s="166"/>
      <c r="F70" s="162"/>
      <c r="G70" s="145"/>
      <c r="H70" s="145"/>
      <c r="J70" s="178"/>
      <c r="K70" s="204"/>
      <c r="L70" s="301"/>
      <c r="M70" s="205"/>
    </row>
    <row r="71" spans="2:13" ht="15.6" x14ac:dyDescent="0.3">
      <c r="B71" s="239"/>
      <c r="C71" s="240"/>
      <c r="D71" s="328" t="s">
        <v>462</v>
      </c>
      <c r="E71" s="283"/>
      <c r="F71" s="245"/>
      <c r="G71" s="280">
        <v>0.66666666666666663</v>
      </c>
      <c r="H71" s="247">
        <v>45057</v>
      </c>
      <c r="J71" s="58"/>
      <c r="K71" s="60"/>
      <c r="L71" s="61"/>
      <c r="M71" s="62"/>
    </row>
    <row r="72" spans="2:13" ht="15.6" x14ac:dyDescent="0.3">
      <c r="B72" s="263"/>
      <c r="C72" s="264"/>
      <c r="D72" s="284"/>
      <c r="E72" s="285"/>
      <c r="F72" s="246"/>
      <c r="G72" s="248"/>
      <c r="H72" s="248"/>
      <c r="J72" s="59"/>
      <c r="K72" s="63"/>
      <c r="L72" s="64"/>
      <c r="M72" s="65"/>
    </row>
    <row r="73" spans="2:13" ht="15.6" x14ac:dyDescent="0.3">
      <c r="B73" s="169" t="s">
        <v>395</v>
      </c>
      <c r="C73" s="199"/>
      <c r="D73" s="200" t="s">
        <v>295</v>
      </c>
      <c r="E73" s="164"/>
      <c r="F73" s="161">
        <v>115</v>
      </c>
      <c r="G73" s="142">
        <v>0.66666666666666663</v>
      </c>
      <c r="H73" s="144">
        <v>45064</v>
      </c>
      <c r="J73" s="128"/>
      <c r="K73" s="331"/>
      <c r="L73" s="332"/>
      <c r="M73" s="193"/>
    </row>
    <row r="74" spans="2:13" ht="15.6" x14ac:dyDescent="0.3">
      <c r="B74" s="167"/>
      <c r="C74" s="168"/>
      <c r="D74" s="201"/>
      <c r="E74" s="166"/>
      <c r="F74" s="162"/>
      <c r="G74" s="143"/>
      <c r="H74" s="145"/>
      <c r="J74" s="129"/>
      <c r="K74" s="333"/>
      <c r="L74" s="334"/>
      <c r="M74" s="194"/>
    </row>
    <row r="75" spans="2:13" ht="15.6" x14ac:dyDescent="0.3">
      <c r="B75" s="239" t="s">
        <v>440</v>
      </c>
      <c r="C75" s="240"/>
      <c r="D75" s="290" t="s">
        <v>442</v>
      </c>
      <c r="E75" s="283"/>
      <c r="F75" s="245">
        <v>2</v>
      </c>
      <c r="G75" s="280">
        <v>0.66666666666666663</v>
      </c>
      <c r="H75" s="247">
        <v>45071</v>
      </c>
      <c r="J75" s="58"/>
      <c r="K75" s="60"/>
      <c r="L75" s="61"/>
      <c r="M75" s="62"/>
    </row>
    <row r="76" spans="2:13" ht="15.6" x14ac:dyDescent="0.3">
      <c r="B76" s="345"/>
      <c r="C76" s="346"/>
      <c r="D76" s="284"/>
      <c r="E76" s="285"/>
      <c r="F76" s="246"/>
      <c r="G76" s="330"/>
      <c r="H76" s="248"/>
      <c r="J76" s="59"/>
      <c r="K76" s="63"/>
      <c r="L76" s="64"/>
      <c r="M76" s="65"/>
    </row>
    <row r="77" spans="2:13" ht="15.6" x14ac:dyDescent="0.3">
      <c r="B77" s="341"/>
      <c r="C77" s="342"/>
      <c r="D77" s="337" t="s">
        <v>462</v>
      </c>
      <c r="E77" s="338"/>
      <c r="F77" s="335"/>
      <c r="G77" s="173">
        <v>0.66666666666666663</v>
      </c>
      <c r="H77" s="175">
        <v>45078</v>
      </c>
      <c r="I77" s="74"/>
      <c r="J77" s="128"/>
      <c r="K77" s="331"/>
      <c r="L77" s="332"/>
      <c r="M77" s="193"/>
    </row>
    <row r="78" spans="2:13" ht="15.6" x14ac:dyDescent="0.3">
      <c r="B78" s="343"/>
      <c r="C78" s="344"/>
      <c r="D78" s="339"/>
      <c r="E78" s="340"/>
      <c r="F78" s="336"/>
      <c r="G78" s="174"/>
      <c r="H78" s="176"/>
      <c r="I78" s="74"/>
      <c r="J78" s="129"/>
      <c r="K78" s="333"/>
      <c r="L78" s="334"/>
      <c r="M78" s="194"/>
    </row>
    <row r="81" spans="2:13" ht="23.4" x14ac:dyDescent="0.45">
      <c r="B81" s="24"/>
      <c r="C81" s="25"/>
      <c r="D81" s="281" t="s">
        <v>353</v>
      </c>
      <c r="E81" s="281"/>
      <c r="F81" s="25"/>
      <c r="G81" s="26"/>
      <c r="H81" s="26"/>
    </row>
    <row r="82" spans="2:13" ht="18" x14ac:dyDescent="0.3">
      <c r="B82" s="271" t="s">
        <v>319</v>
      </c>
      <c r="C82" s="272"/>
      <c r="D82" s="273"/>
      <c r="E82" s="273"/>
      <c r="F82" s="66" t="s">
        <v>393</v>
      </c>
      <c r="G82" s="286" t="s">
        <v>463</v>
      </c>
      <c r="H82" s="287"/>
    </row>
    <row r="83" spans="2:13" ht="18" x14ac:dyDescent="0.3">
      <c r="B83" s="274" t="s">
        <v>320</v>
      </c>
      <c r="C83" s="275"/>
      <c r="D83" s="252" t="s">
        <v>464</v>
      </c>
      <c r="E83" s="252"/>
      <c r="F83" s="252"/>
      <c r="G83" s="252"/>
      <c r="H83" s="253"/>
    </row>
    <row r="84" spans="2:13" ht="21" x14ac:dyDescent="0.4">
      <c r="B84" s="249" t="s">
        <v>307</v>
      </c>
      <c r="C84" s="250"/>
      <c r="D84" s="251" t="s">
        <v>127</v>
      </c>
      <c r="E84" s="251"/>
      <c r="F84" s="28" t="s">
        <v>308</v>
      </c>
      <c r="G84" s="29" t="s">
        <v>313</v>
      </c>
      <c r="H84" s="30" t="s">
        <v>306</v>
      </c>
      <c r="I84" s="21"/>
      <c r="J84" s="31" t="s">
        <v>314</v>
      </c>
      <c r="K84" s="31" t="s">
        <v>315</v>
      </c>
      <c r="L84" s="276" t="s">
        <v>316</v>
      </c>
      <c r="M84" s="277"/>
    </row>
    <row r="85" spans="2:13" ht="15.6" x14ac:dyDescent="0.3">
      <c r="B85" s="239" t="s">
        <v>364</v>
      </c>
      <c r="C85" s="240"/>
      <c r="D85" s="290" t="s">
        <v>349</v>
      </c>
      <c r="E85" s="283"/>
      <c r="F85" s="245"/>
      <c r="G85" s="280">
        <v>0.6875</v>
      </c>
      <c r="H85" s="247">
        <v>45091</v>
      </c>
      <c r="J85" s="58"/>
      <c r="K85" s="60"/>
      <c r="L85" s="61"/>
      <c r="M85" s="62"/>
    </row>
    <row r="86" spans="2:13" ht="15.6" x14ac:dyDescent="0.3">
      <c r="B86" s="263"/>
      <c r="C86" s="264"/>
      <c r="D86" s="284"/>
      <c r="E86" s="285"/>
      <c r="F86" s="246"/>
      <c r="G86" s="248"/>
      <c r="H86" s="248"/>
      <c r="J86" s="59"/>
      <c r="K86" s="63"/>
      <c r="L86" s="64"/>
      <c r="M86" s="65"/>
    </row>
    <row r="87" spans="2:13" ht="15.6" x14ac:dyDescent="0.3">
      <c r="B87" s="169" t="s">
        <v>328</v>
      </c>
      <c r="C87" s="199"/>
      <c r="D87" s="163" t="s">
        <v>465</v>
      </c>
      <c r="E87" s="164"/>
      <c r="F87" s="161">
        <v>8</v>
      </c>
      <c r="G87" s="142">
        <v>0.6875</v>
      </c>
      <c r="H87" s="144">
        <v>45098</v>
      </c>
      <c r="J87" s="50"/>
      <c r="K87" s="52"/>
      <c r="L87" s="56"/>
      <c r="M87" s="53"/>
    </row>
    <row r="88" spans="2:13" ht="15.6" x14ac:dyDescent="0.3">
      <c r="B88" s="167"/>
      <c r="C88" s="168"/>
      <c r="D88" s="165"/>
      <c r="E88" s="166"/>
      <c r="F88" s="162"/>
      <c r="G88" s="143"/>
      <c r="H88" s="145"/>
      <c r="J88" s="51"/>
      <c r="K88" s="54"/>
      <c r="L88" s="57"/>
      <c r="M88" s="55"/>
    </row>
    <row r="89" spans="2:13" ht="15.6" x14ac:dyDescent="0.3">
      <c r="B89" s="239" t="s">
        <v>466</v>
      </c>
      <c r="C89" s="240"/>
      <c r="D89" s="288" t="s">
        <v>138</v>
      </c>
      <c r="E89" s="283"/>
      <c r="F89" s="245">
        <v>5</v>
      </c>
      <c r="G89" s="280">
        <v>0.6875</v>
      </c>
      <c r="H89" s="247">
        <v>45105</v>
      </c>
      <c r="J89" s="255"/>
      <c r="K89" s="257"/>
      <c r="L89" s="258"/>
      <c r="M89" s="259"/>
    </row>
    <row r="90" spans="2:13" ht="15.6" x14ac:dyDescent="0.3">
      <c r="B90" s="263"/>
      <c r="C90" s="264"/>
      <c r="D90" s="289"/>
      <c r="E90" s="285"/>
      <c r="F90" s="246"/>
      <c r="G90" s="330"/>
      <c r="H90" s="248"/>
      <c r="J90" s="256"/>
      <c r="K90" s="260"/>
      <c r="L90" s="261"/>
      <c r="M90" s="262"/>
    </row>
    <row r="91" spans="2:13" ht="15.6" x14ac:dyDescent="0.3">
      <c r="B91" s="169" t="s">
        <v>436</v>
      </c>
      <c r="C91" s="199"/>
      <c r="D91" s="163" t="s">
        <v>415</v>
      </c>
      <c r="E91" s="164"/>
      <c r="F91" s="161">
        <v>122</v>
      </c>
      <c r="G91" s="142">
        <v>0.6875</v>
      </c>
      <c r="H91" s="144">
        <v>45112</v>
      </c>
      <c r="J91" s="50"/>
      <c r="K91" s="52"/>
      <c r="L91" s="56"/>
      <c r="M91" s="53"/>
    </row>
    <row r="92" spans="2:13" ht="15.6" x14ac:dyDescent="0.3">
      <c r="B92" s="167"/>
      <c r="C92" s="168"/>
      <c r="D92" s="165"/>
      <c r="E92" s="166"/>
      <c r="F92" s="162"/>
      <c r="G92" s="143"/>
      <c r="H92" s="145"/>
      <c r="J92" s="51"/>
      <c r="K92" s="54"/>
      <c r="L92" s="57"/>
      <c r="M92" s="55"/>
    </row>
    <row r="95" spans="2:13" ht="23.4" x14ac:dyDescent="0.45">
      <c r="B95" s="24"/>
      <c r="C95" s="25"/>
      <c r="D95" s="281" t="s">
        <v>367</v>
      </c>
      <c r="E95" s="281"/>
      <c r="F95" s="25"/>
      <c r="G95" s="26"/>
      <c r="H95" s="26"/>
    </row>
    <row r="96" spans="2:13" ht="18" x14ac:dyDescent="0.3">
      <c r="B96" s="271" t="s">
        <v>319</v>
      </c>
      <c r="C96" s="272"/>
      <c r="D96" s="273"/>
      <c r="E96" s="273"/>
      <c r="F96" s="66" t="s">
        <v>393</v>
      </c>
      <c r="G96" s="286"/>
      <c r="H96" s="287"/>
    </row>
    <row r="97" spans="2:13" ht="18" x14ac:dyDescent="0.3">
      <c r="B97" s="274" t="s">
        <v>320</v>
      </c>
      <c r="C97" s="275"/>
      <c r="D97" s="252"/>
      <c r="E97" s="252"/>
      <c r="F97" s="252"/>
      <c r="G97" s="252"/>
      <c r="H97" s="253"/>
    </row>
    <row r="98" spans="2:13" ht="21" x14ac:dyDescent="0.4">
      <c r="B98" s="249" t="s">
        <v>307</v>
      </c>
      <c r="C98" s="250"/>
      <c r="D98" s="251" t="s">
        <v>127</v>
      </c>
      <c r="E98" s="251"/>
      <c r="F98" s="28" t="s">
        <v>308</v>
      </c>
      <c r="G98" s="29" t="s">
        <v>313</v>
      </c>
      <c r="H98" s="30" t="s">
        <v>306</v>
      </c>
      <c r="I98" s="21"/>
      <c r="J98" s="31" t="s">
        <v>314</v>
      </c>
      <c r="K98" s="31" t="s">
        <v>315</v>
      </c>
      <c r="L98" s="276" t="s">
        <v>316</v>
      </c>
      <c r="M98" s="277"/>
    </row>
    <row r="99" spans="2:13" ht="15.6" x14ac:dyDescent="0.3">
      <c r="B99" s="169"/>
      <c r="C99" s="199"/>
      <c r="D99" s="296"/>
      <c r="E99" s="297"/>
      <c r="F99" s="268"/>
      <c r="G99" s="144"/>
      <c r="H99" s="144">
        <v>45114</v>
      </c>
      <c r="I99" s="21"/>
      <c r="J99" s="50"/>
      <c r="K99" s="52"/>
      <c r="L99" s="56"/>
      <c r="M99" s="53"/>
    </row>
    <row r="100" spans="2:13" ht="15.6" x14ac:dyDescent="0.3">
      <c r="B100" s="167"/>
      <c r="C100" s="168"/>
      <c r="D100" s="298"/>
      <c r="E100" s="299"/>
      <c r="F100" s="270"/>
      <c r="G100" s="145"/>
      <c r="H100" s="145"/>
      <c r="J100" s="51"/>
      <c r="K100" s="54"/>
      <c r="L100" s="57"/>
      <c r="M100" s="55"/>
    </row>
    <row r="101" spans="2:13" ht="15.6" x14ac:dyDescent="0.3">
      <c r="B101" s="239"/>
      <c r="C101" s="240"/>
      <c r="D101" s="292"/>
      <c r="E101" s="293"/>
      <c r="F101" s="245"/>
      <c r="G101" s="247"/>
      <c r="H101" s="247">
        <v>45121</v>
      </c>
      <c r="J101" s="58"/>
      <c r="K101" s="60"/>
      <c r="L101" s="61"/>
      <c r="M101" s="62"/>
    </row>
    <row r="102" spans="2:13" ht="15.6" x14ac:dyDescent="0.3">
      <c r="B102" s="263"/>
      <c r="C102" s="264"/>
      <c r="D102" s="294"/>
      <c r="E102" s="295"/>
      <c r="F102" s="246"/>
      <c r="G102" s="248"/>
      <c r="H102" s="248"/>
      <c r="J102" s="59"/>
      <c r="K102" s="63"/>
      <c r="L102" s="64"/>
      <c r="M102" s="65"/>
    </row>
    <row r="103" spans="2:13" ht="15.6" x14ac:dyDescent="0.3">
      <c r="B103" s="169"/>
      <c r="C103" s="199"/>
      <c r="D103" s="296"/>
      <c r="E103" s="297"/>
      <c r="F103" s="161"/>
      <c r="G103" s="144"/>
      <c r="H103" s="144">
        <v>45128</v>
      </c>
      <c r="J103" s="50"/>
      <c r="K103" s="52"/>
      <c r="L103" s="56"/>
      <c r="M103" s="53"/>
    </row>
    <row r="104" spans="2:13" ht="15.6" x14ac:dyDescent="0.3">
      <c r="B104" s="167"/>
      <c r="C104" s="168"/>
      <c r="D104" s="298"/>
      <c r="E104" s="299"/>
      <c r="F104" s="162"/>
      <c r="G104" s="145"/>
      <c r="H104" s="145"/>
      <c r="J104" s="51"/>
      <c r="K104" s="54"/>
      <c r="L104" s="57"/>
      <c r="M104" s="55"/>
    </row>
    <row r="105" spans="2:13" ht="15.6" x14ac:dyDescent="0.3">
      <c r="B105" s="239"/>
      <c r="C105" s="240"/>
      <c r="D105" s="241"/>
      <c r="E105" s="242"/>
      <c r="F105" s="245"/>
      <c r="G105" s="247"/>
      <c r="H105" s="247">
        <v>45135</v>
      </c>
      <c r="J105" s="255"/>
      <c r="K105" s="257"/>
      <c r="L105" s="258"/>
      <c r="M105" s="259"/>
    </row>
    <row r="106" spans="2:13" ht="15.6" x14ac:dyDescent="0.3">
      <c r="B106" s="263"/>
      <c r="C106" s="264"/>
      <c r="D106" s="243"/>
      <c r="E106" s="244"/>
      <c r="F106" s="246"/>
      <c r="G106" s="248"/>
      <c r="H106" s="248"/>
      <c r="J106" s="256"/>
      <c r="K106" s="260"/>
      <c r="L106" s="261"/>
      <c r="M106" s="262"/>
    </row>
    <row r="107" spans="2:13" ht="15.6" x14ac:dyDescent="0.3">
      <c r="B107" s="169"/>
      <c r="C107" s="199"/>
      <c r="D107" s="200"/>
      <c r="E107" s="164"/>
      <c r="F107" s="161"/>
      <c r="G107" s="142"/>
      <c r="H107" s="144">
        <v>45136</v>
      </c>
      <c r="J107" s="50"/>
      <c r="K107" s="52"/>
      <c r="L107" s="56"/>
      <c r="M107" s="53"/>
    </row>
    <row r="108" spans="2:13" ht="15.6" x14ac:dyDescent="0.3">
      <c r="B108" s="167"/>
      <c r="C108" s="168"/>
      <c r="D108" s="201"/>
      <c r="E108" s="166"/>
      <c r="F108" s="162"/>
      <c r="G108" s="145"/>
      <c r="H108" s="145"/>
      <c r="J108" s="51"/>
      <c r="K108" s="54"/>
      <c r="L108" s="57"/>
      <c r="M108" s="55"/>
    </row>
    <row r="111" spans="2:13" ht="23.4" x14ac:dyDescent="0.45">
      <c r="B111" s="24"/>
      <c r="C111" s="25"/>
      <c r="D111" s="281" t="s">
        <v>368</v>
      </c>
      <c r="E111" s="281"/>
      <c r="F111" s="25"/>
      <c r="G111" s="26"/>
      <c r="H111" s="26"/>
    </row>
    <row r="112" spans="2:13" ht="18" x14ac:dyDescent="0.3">
      <c r="B112" s="271" t="s">
        <v>319</v>
      </c>
      <c r="C112" s="272"/>
      <c r="D112" s="273" t="s">
        <v>380</v>
      </c>
      <c r="E112" s="273"/>
      <c r="F112" s="66" t="s">
        <v>393</v>
      </c>
      <c r="G112" s="286" t="s">
        <v>467</v>
      </c>
      <c r="H112" s="287"/>
    </row>
    <row r="113" spans="2:13" ht="18" x14ac:dyDescent="0.3">
      <c r="B113" s="274" t="s">
        <v>320</v>
      </c>
      <c r="C113" s="275"/>
      <c r="D113" s="291" t="s">
        <v>468</v>
      </c>
      <c r="E113" s="252"/>
      <c r="F113" s="252"/>
      <c r="G113" s="252"/>
      <c r="H113" s="253"/>
    </row>
    <row r="114" spans="2:13" ht="21" x14ac:dyDescent="0.4">
      <c r="B114" s="249" t="s">
        <v>307</v>
      </c>
      <c r="C114" s="250"/>
      <c r="D114" s="251" t="s">
        <v>127</v>
      </c>
      <c r="E114" s="251"/>
      <c r="F114" s="28" t="s">
        <v>308</v>
      </c>
      <c r="G114" s="29" t="s">
        <v>313</v>
      </c>
      <c r="H114" s="30" t="s">
        <v>306</v>
      </c>
      <c r="I114" s="21"/>
      <c r="J114" s="31" t="s">
        <v>314</v>
      </c>
      <c r="K114" s="31" t="s">
        <v>315</v>
      </c>
      <c r="L114" s="276" t="s">
        <v>316</v>
      </c>
      <c r="M114" s="277"/>
    </row>
    <row r="115" spans="2:13" ht="15.6" x14ac:dyDescent="0.3">
      <c r="B115" s="169" t="s">
        <v>395</v>
      </c>
      <c r="C115" s="199"/>
      <c r="D115" s="200" t="s">
        <v>469</v>
      </c>
      <c r="E115" s="164"/>
      <c r="F115" s="268">
        <v>115</v>
      </c>
      <c r="G115" s="142">
        <v>0.375</v>
      </c>
      <c r="H115" s="144">
        <v>45872</v>
      </c>
      <c r="I115" s="21"/>
      <c r="J115" s="50"/>
      <c r="K115" s="52"/>
      <c r="L115" s="56"/>
      <c r="M115" s="53"/>
    </row>
    <row r="116" spans="2:13" ht="15.6" x14ac:dyDescent="0.3">
      <c r="B116" s="167"/>
      <c r="C116" s="168"/>
      <c r="D116" s="201"/>
      <c r="E116" s="166"/>
      <c r="F116" s="270"/>
      <c r="G116" s="145"/>
      <c r="H116" s="145"/>
      <c r="J116" s="51"/>
      <c r="K116" s="54"/>
      <c r="L116" s="57"/>
      <c r="M116" s="55"/>
    </row>
    <row r="117" spans="2:13" ht="15.6" x14ac:dyDescent="0.3">
      <c r="B117" s="239" t="s">
        <v>471</v>
      </c>
      <c r="C117" s="240"/>
      <c r="D117" s="265" t="s">
        <v>443</v>
      </c>
      <c r="E117" s="242"/>
      <c r="F117" s="245"/>
      <c r="G117" s="280">
        <v>0.375</v>
      </c>
      <c r="H117" s="247">
        <v>45879</v>
      </c>
      <c r="J117" s="58"/>
      <c r="K117" s="60"/>
      <c r="L117" s="61"/>
      <c r="M117" s="62"/>
    </row>
    <row r="118" spans="2:13" ht="15.6" x14ac:dyDescent="0.3">
      <c r="B118" s="263"/>
      <c r="C118" s="264"/>
      <c r="D118" s="266"/>
      <c r="E118" s="244"/>
      <c r="F118" s="246"/>
      <c r="G118" s="248"/>
      <c r="H118" s="248"/>
      <c r="J118" s="59"/>
      <c r="K118" s="63"/>
      <c r="L118" s="64"/>
      <c r="M118" s="65"/>
    </row>
    <row r="119" spans="2:13" ht="15.6" x14ac:dyDescent="0.3">
      <c r="B119" s="169"/>
      <c r="C119" s="199"/>
      <c r="D119" s="329" t="s">
        <v>470</v>
      </c>
      <c r="E119" s="268"/>
      <c r="F119" s="161"/>
      <c r="G119" s="142">
        <v>0.375</v>
      </c>
      <c r="H119" s="144">
        <v>45886</v>
      </c>
      <c r="J119" s="50"/>
      <c r="K119" s="52"/>
      <c r="L119" s="56"/>
      <c r="M119" s="53"/>
    </row>
    <row r="120" spans="2:13" ht="15.6" x14ac:dyDescent="0.3">
      <c r="B120" s="167"/>
      <c r="C120" s="168"/>
      <c r="D120" s="269"/>
      <c r="E120" s="270"/>
      <c r="F120" s="162"/>
      <c r="G120" s="145"/>
      <c r="H120" s="145"/>
      <c r="J120" s="51"/>
      <c r="K120" s="54"/>
      <c r="L120" s="57"/>
      <c r="M120" s="55"/>
    </row>
    <row r="121" spans="2:13" ht="15.6" x14ac:dyDescent="0.3">
      <c r="B121" s="239" t="s">
        <v>473</v>
      </c>
      <c r="C121" s="240"/>
      <c r="D121" s="288" t="s">
        <v>472</v>
      </c>
      <c r="E121" s="283"/>
      <c r="F121" s="245">
        <v>136</v>
      </c>
      <c r="G121" s="280">
        <v>0.375</v>
      </c>
      <c r="H121" s="247">
        <v>45893</v>
      </c>
      <c r="J121" s="255"/>
      <c r="K121" s="257"/>
      <c r="L121" s="258"/>
      <c r="M121" s="259"/>
    </row>
    <row r="122" spans="2:13" ht="15.6" x14ac:dyDescent="0.3">
      <c r="B122" s="263"/>
      <c r="C122" s="264"/>
      <c r="D122" s="289"/>
      <c r="E122" s="285"/>
      <c r="F122" s="246"/>
      <c r="G122" s="248"/>
      <c r="H122" s="248"/>
      <c r="J122" s="256"/>
      <c r="K122" s="260"/>
      <c r="L122" s="261"/>
      <c r="M122" s="262"/>
    </row>
    <row r="123" spans="2:13" ht="15.6" x14ac:dyDescent="0.3">
      <c r="B123" s="169" t="s">
        <v>474</v>
      </c>
      <c r="C123" s="199"/>
      <c r="D123" s="163" t="s">
        <v>475</v>
      </c>
      <c r="E123" s="164"/>
      <c r="F123" s="161">
        <v>126</v>
      </c>
      <c r="G123" s="142">
        <v>0.375</v>
      </c>
      <c r="H123" s="144">
        <v>45900</v>
      </c>
      <c r="J123" s="50"/>
      <c r="K123" s="52"/>
      <c r="L123" s="56"/>
      <c r="M123" s="53"/>
    </row>
    <row r="124" spans="2:13" ht="15.6" x14ac:dyDescent="0.3">
      <c r="B124" s="167"/>
      <c r="C124" s="168"/>
      <c r="D124" s="165"/>
      <c r="E124" s="166"/>
      <c r="F124" s="162"/>
      <c r="G124" s="145"/>
      <c r="H124" s="145"/>
      <c r="J124" s="51"/>
      <c r="K124" s="54"/>
      <c r="L124" s="57"/>
      <c r="M124" s="55"/>
    </row>
    <row r="127" spans="2:13" ht="23.4" x14ac:dyDescent="0.45">
      <c r="B127" s="24"/>
      <c r="C127" s="25"/>
      <c r="D127" s="281" t="s">
        <v>369</v>
      </c>
      <c r="E127" s="281"/>
      <c r="F127" s="25"/>
      <c r="G127" s="26"/>
      <c r="H127" s="26"/>
    </row>
    <row r="128" spans="2:13" ht="18" x14ac:dyDescent="0.3">
      <c r="B128" s="271" t="s">
        <v>319</v>
      </c>
      <c r="C128" s="272"/>
      <c r="D128" s="273"/>
      <c r="E128" s="273"/>
      <c r="F128" s="66" t="s">
        <v>393</v>
      </c>
      <c r="G128" s="286"/>
      <c r="H128" s="287"/>
    </row>
    <row r="129" spans="2:13" ht="18" x14ac:dyDescent="0.3">
      <c r="B129" s="274" t="s">
        <v>320</v>
      </c>
      <c r="C129" s="275"/>
      <c r="D129" s="291"/>
      <c r="E129" s="252"/>
      <c r="F129" s="252"/>
      <c r="G129" s="252"/>
      <c r="H129" s="253"/>
    </row>
    <row r="130" spans="2:13" ht="21" x14ac:dyDescent="0.4">
      <c r="B130" s="249" t="s">
        <v>307</v>
      </c>
      <c r="C130" s="250"/>
      <c r="D130" s="251" t="s">
        <v>127</v>
      </c>
      <c r="E130" s="251"/>
      <c r="F130" s="28" t="s">
        <v>308</v>
      </c>
      <c r="G130" s="29" t="s">
        <v>313</v>
      </c>
      <c r="H130" s="30" t="s">
        <v>306</v>
      </c>
      <c r="I130" s="21"/>
      <c r="J130" s="31" t="s">
        <v>314</v>
      </c>
      <c r="K130" s="31" t="s">
        <v>315</v>
      </c>
      <c r="L130" s="276" t="s">
        <v>316</v>
      </c>
      <c r="M130" s="277"/>
    </row>
    <row r="131" spans="2:13" ht="15.6" x14ac:dyDescent="0.3">
      <c r="B131" s="169"/>
      <c r="C131" s="199"/>
      <c r="D131" s="200"/>
      <c r="E131" s="164"/>
      <c r="F131" s="268"/>
      <c r="G131" s="142">
        <v>0.5</v>
      </c>
      <c r="H131" s="144">
        <v>45170</v>
      </c>
      <c r="I131" s="21"/>
      <c r="J131" s="50"/>
      <c r="K131" s="202"/>
      <c r="L131" s="300"/>
      <c r="M131" s="203"/>
    </row>
    <row r="132" spans="2:13" ht="15.6" x14ac:dyDescent="0.3">
      <c r="B132" s="167"/>
      <c r="C132" s="168"/>
      <c r="D132" s="201"/>
      <c r="E132" s="166"/>
      <c r="F132" s="270"/>
      <c r="G132" s="145"/>
      <c r="H132" s="145"/>
      <c r="J132" s="51"/>
      <c r="K132" s="204"/>
      <c r="L132" s="301"/>
      <c r="M132" s="205"/>
    </row>
    <row r="133" spans="2:13" ht="15.6" x14ac:dyDescent="0.3">
      <c r="B133" s="239"/>
      <c r="C133" s="240"/>
      <c r="D133" s="290"/>
      <c r="E133" s="283"/>
      <c r="F133" s="245"/>
      <c r="G133" s="280">
        <v>0.5</v>
      </c>
      <c r="H133" s="247">
        <v>45177</v>
      </c>
      <c r="J133" s="58"/>
      <c r="K133" s="60"/>
      <c r="L133" s="61"/>
      <c r="M133" s="62"/>
    </row>
    <row r="134" spans="2:13" ht="15.6" x14ac:dyDescent="0.3">
      <c r="B134" s="263"/>
      <c r="C134" s="264"/>
      <c r="D134" s="284"/>
      <c r="E134" s="285"/>
      <c r="F134" s="246"/>
      <c r="G134" s="248"/>
      <c r="H134" s="248"/>
      <c r="J134" s="59"/>
      <c r="K134" s="63"/>
      <c r="L134" s="64"/>
      <c r="M134" s="65"/>
    </row>
    <row r="135" spans="2:13" ht="15.6" x14ac:dyDescent="0.3">
      <c r="B135" s="169"/>
      <c r="C135" s="199"/>
      <c r="D135" s="163"/>
      <c r="E135" s="164"/>
      <c r="F135" s="161"/>
      <c r="G135" s="142">
        <v>0.5</v>
      </c>
      <c r="H135" s="144">
        <v>45184</v>
      </c>
      <c r="J135" s="50"/>
      <c r="K135" s="202"/>
      <c r="L135" s="300"/>
      <c r="M135" s="203"/>
    </row>
    <row r="136" spans="2:13" ht="15.6" x14ac:dyDescent="0.3">
      <c r="B136" s="167"/>
      <c r="C136" s="168"/>
      <c r="D136" s="165"/>
      <c r="E136" s="166"/>
      <c r="F136" s="162"/>
      <c r="G136" s="145"/>
      <c r="H136" s="145"/>
      <c r="J136" s="51"/>
      <c r="K136" s="204"/>
      <c r="L136" s="301"/>
      <c r="M136" s="205"/>
    </row>
    <row r="137" spans="2:13" ht="15.6" x14ac:dyDescent="0.3">
      <c r="B137" s="239"/>
      <c r="C137" s="240"/>
      <c r="D137" s="254"/>
      <c r="E137" s="242"/>
      <c r="F137" s="245"/>
      <c r="G137" s="280">
        <v>0.5</v>
      </c>
      <c r="H137" s="247">
        <v>45191</v>
      </c>
      <c r="J137" s="255"/>
      <c r="K137" s="257"/>
      <c r="L137" s="258"/>
      <c r="M137" s="259"/>
    </row>
    <row r="138" spans="2:13" ht="15.6" x14ac:dyDescent="0.3">
      <c r="B138" s="263"/>
      <c r="C138" s="264"/>
      <c r="D138" s="243"/>
      <c r="E138" s="244"/>
      <c r="F138" s="246"/>
      <c r="G138" s="248"/>
      <c r="H138" s="248"/>
      <c r="J138" s="256"/>
      <c r="K138" s="260"/>
      <c r="L138" s="261"/>
      <c r="M138" s="262"/>
    </row>
    <row r="139" spans="2:13" ht="15.6" x14ac:dyDescent="0.3">
      <c r="B139" s="169"/>
      <c r="C139" s="199"/>
      <c r="D139" s="163"/>
      <c r="E139" s="164"/>
      <c r="F139" s="161"/>
      <c r="G139" s="142">
        <v>0.5</v>
      </c>
      <c r="H139" s="144">
        <v>45198</v>
      </c>
      <c r="J139" s="50"/>
      <c r="K139" s="202"/>
      <c r="L139" s="300"/>
      <c r="M139" s="203"/>
    </row>
    <row r="140" spans="2:13" ht="15.6" x14ac:dyDescent="0.3">
      <c r="B140" s="167"/>
      <c r="C140" s="168"/>
      <c r="D140" s="165"/>
      <c r="E140" s="166"/>
      <c r="F140" s="162"/>
      <c r="G140" s="145"/>
      <c r="H140" s="145"/>
      <c r="J140" s="51"/>
      <c r="K140" s="204"/>
      <c r="L140" s="301"/>
      <c r="M140" s="205"/>
    </row>
    <row r="143" spans="2:13" ht="23.4" x14ac:dyDescent="0.45">
      <c r="B143" s="24"/>
      <c r="C143" s="25"/>
      <c r="D143" s="281" t="s">
        <v>370</v>
      </c>
      <c r="E143" s="281"/>
      <c r="F143" s="25"/>
      <c r="G143" s="26"/>
      <c r="H143" s="26"/>
    </row>
    <row r="144" spans="2:13" ht="18" x14ac:dyDescent="0.3">
      <c r="B144" s="271" t="s">
        <v>319</v>
      </c>
      <c r="C144" s="272"/>
      <c r="D144" s="273" t="s">
        <v>456</v>
      </c>
      <c r="E144" s="273"/>
      <c r="F144" s="66" t="s">
        <v>393</v>
      </c>
      <c r="G144" s="286" t="s">
        <v>476</v>
      </c>
      <c r="H144" s="287"/>
    </row>
    <row r="145" spans="2:13" ht="18" x14ac:dyDescent="0.3">
      <c r="B145" s="274" t="s">
        <v>320</v>
      </c>
      <c r="C145" s="275"/>
      <c r="D145" s="252" t="s">
        <v>477</v>
      </c>
      <c r="E145" s="252"/>
      <c r="F145" s="252"/>
      <c r="G145" s="252"/>
      <c r="H145" s="253"/>
    </row>
    <row r="146" spans="2:13" ht="21" x14ac:dyDescent="0.4">
      <c r="B146" s="249" t="s">
        <v>307</v>
      </c>
      <c r="C146" s="250"/>
      <c r="D146" s="251" t="s">
        <v>127</v>
      </c>
      <c r="E146" s="251"/>
      <c r="F146" s="28" t="s">
        <v>308</v>
      </c>
      <c r="G146" s="29" t="s">
        <v>313</v>
      </c>
      <c r="H146" s="30" t="s">
        <v>306</v>
      </c>
      <c r="I146" s="21"/>
      <c r="J146" s="31" t="s">
        <v>314</v>
      </c>
      <c r="K146" s="31" t="s">
        <v>315</v>
      </c>
      <c r="L146" s="276" t="s">
        <v>316</v>
      </c>
      <c r="M146" s="277"/>
    </row>
    <row r="147" spans="2:13" ht="15.6" x14ac:dyDescent="0.3">
      <c r="B147" s="169" t="s">
        <v>480</v>
      </c>
      <c r="C147" s="199"/>
      <c r="D147" s="200" t="s">
        <v>7</v>
      </c>
      <c r="E147" s="164"/>
      <c r="F147" s="268">
        <v>128</v>
      </c>
      <c r="G147" s="142">
        <v>0.75</v>
      </c>
      <c r="H147" s="144">
        <v>45934</v>
      </c>
      <c r="I147" s="21"/>
      <c r="J147" s="50"/>
      <c r="K147" s="52"/>
      <c r="L147" s="56"/>
      <c r="M147" s="53"/>
    </row>
    <row r="148" spans="2:13" ht="15.6" x14ac:dyDescent="0.3">
      <c r="B148" s="167"/>
      <c r="C148" s="168"/>
      <c r="D148" s="201"/>
      <c r="E148" s="166"/>
      <c r="F148" s="270"/>
      <c r="G148" s="145"/>
      <c r="H148" s="145"/>
      <c r="J148" s="51"/>
      <c r="K148" s="54"/>
      <c r="L148" s="57"/>
      <c r="M148" s="55"/>
    </row>
    <row r="149" spans="2:13" ht="15.6" x14ac:dyDescent="0.3">
      <c r="B149" s="239" t="s">
        <v>330</v>
      </c>
      <c r="C149" s="240"/>
      <c r="D149" s="290" t="s">
        <v>38</v>
      </c>
      <c r="E149" s="283"/>
      <c r="F149" s="245"/>
      <c r="G149" s="280">
        <v>0.75</v>
      </c>
      <c r="H149" s="247">
        <v>45941</v>
      </c>
      <c r="J149" s="58"/>
      <c r="K149" s="60"/>
      <c r="L149" s="61"/>
      <c r="M149" s="62"/>
    </row>
    <row r="150" spans="2:13" ht="15.6" x14ac:dyDescent="0.3">
      <c r="B150" s="263"/>
      <c r="C150" s="264"/>
      <c r="D150" s="284"/>
      <c r="E150" s="285"/>
      <c r="F150" s="246"/>
      <c r="G150" s="248"/>
      <c r="H150" s="248"/>
      <c r="J150" s="59"/>
      <c r="K150" s="63"/>
      <c r="L150" s="64"/>
      <c r="M150" s="65"/>
    </row>
    <row r="151" spans="2:13" ht="15.6" x14ac:dyDescent="0.3">
      <c r="B151" s="169" t="s">
        <v>329</v>
      </c>
      <c r="C151" s="199"/>
      <c r="D151" s="163" t="s">
        <v>133</v>
      </c>
      <c r="E151" s="164"/>
      <c r="F151" s="161"/>
      <c r="G151" s="142">
        <v>0.75</v>
      </c>
      <c r="H151" s="144">
        <v>45948</v>
      </c>
      <c r="J151" s="50"/>
      <c r="K151" s="52"/>
      <c r="L151" s="56"/>
      <c r="M151" s="53"/>
    </row>
    <row r="152" spans="2:13" ht="15.6" x14ac:dyDescent="0.3">
      <c r="B152" s="167"/>
      <c r="C152" s="168"/>
      <c r="D152" s="165"/>
      <c r="E152" s="166"/>
      <c r="F152" s="162"/>
      <c r="G152" s="145"/>
      <c r="H152" s="145"/>
      <c r="J152" s="51"/>
      <c r="K152" s="54"/>
      <c r="L152" s="57"/>
      <c r="M152" s="55"/>
    </row>
    <row r="153" spans="2:13" ht="15.6" x14ac:dyDescent="0.3">
      <c r="B153" s="239" t="s">
        <v>481</v>
      </c>
      <c r="C153" s="240"/>
      <c r="D153" s="288" t="s">
        <v>482</v>
      </c>
      <c r="E153" s="283"/>
      <c r="F153" s="245">
        <v>47</v>
      </c>
      <c r="G153" s="280">
        <v>0.75</v>
      </c>
      <c r="H153" s="247">
        <v>45955</v>
      </c>
      <c r="J153" s="255"/>
      <c r="K153" s="257"/>
      <c r="L153" s="258"/>
      <c r="M153" s="259"/>
    </row>
    <row r="154" spans="2:13" ht="15.6" x14ac:dyDescent="0.3">
      <c r="B154" s="263"/>
      <c r="C154" s="264"/>
      <c r="D154" s="289"/>
      <c r="E154" s="285"/>
      <c r="F154" s="246"/>
      <c r="G154" s="248"/>
      <c r="H154" s="248"/>
      <c r="J154" s="256"/>
      <c r="K154" s="260"/>
      <c r="L154" s="261"/>
      <c r="M154" s="262"/>
    </row>
    <row r="157" spans="2:13" ht="23.4" x14ac:dyDescent="0.45">
      <c r="B157" s="24"/>
      <c r="C157" s="25"/>
      <c r="D157" s="281" t="s">
        <v>371</v>
      </c>
      <c r="E157" s="281"/>
      <c r="F157" s="25"/>
      <c r="G157" s="26"/>
      <c r="H157" s="26"/>
    </row>
    <row r="158" spans="2:13" ht="18" x14ac:dyDescent="0.3">
      <c r="B158" s="271" t="s">
        <v>319</v>
      </c>
      <c r="C158" s="272"/>
      <c r="D158" s="273" t="s">
        <v>456</v>
      </c>
      <c r="E158" s="273"/>
      <c r="F158" s="66" t="s">
        <v>393</v>
      </c>
      <c r="G158" s="286" t="s">
        <v>476</v>
      </c>
      <c r="H158" s="287"/>
    </row>
    <row r="159" spans="2:13" ht="18" x14ac:dyDescent="0.3">
      <c r="B159" s="274" t="s">
        <v>320</v>
      </c>
      <c r="C159" s="275"/>
      <c r="D159" s="252" t="s">
        <v>477</v>
      </c>
      <c r="E159" s="252"/>
      <c r="F159" s="252"/>
      <c r="G159" s="252"/>
      <c r="H159" s="253"/>
    </row>
    <row r="160" spans="2:13" ht="21" x14ac:dyDescent="0.4">
      <c r="B160" s="249" t="s">
        <v>307</v>
      </c>
      <c r="C160" s="250"/>
      <c r="D160" s="251" t="s">
        <v>127</v>
      </c>
      <c r="E160" s="251"/>
      <c r="F160" s="28" t="s">
        <v>308</v>
      </c>
      <c r="G160" s="29" t="s">
        <v>313</v>
      </c>
      <c r="H160" s="30" t="s">
        <v>306</v>
      </c>
      <c r="I160" s="21"/>
      <c r="J160" s="31" t="s">
        <v>314</v>
      </c>
      <c r="K160" s="31" t="s">
        <v>315</v>
      </c>
      <c r="L160" s="276" t="s">
        <v>316</v>
      </c>
      <c r="M160" s="277"/>
    </row>
    <row r="161" spans="2:13" ht="15.6" x14ac:dyDescent="0.3">
      <c r="B161" s="169"/>
      <c r="C161" s="199"/>
      <c r="D161" s="200" t="s">
        <v>478</v>
      </c>
      <c r="E161" s="164"/>
      <c r="F161" s="268"/>
      <c r="G161" s="142">
        <v>0.75</v>
      </c>
      <c r="H161" s="144">
        <v>45962</v>
      </c>
      <c r="I161" s="21"/>
      <c r="J161" s="50"/>
      <c r="K161" s="52"/>
      <c r="L161" s="56"/>
      <c r="M161" s="53"/>
    </row>
    <row r="162" spans="2:13" ht="15.6" x14ac:dyDescent="0.3">
      <c r="B162" s="167"/>
      <c r="C162" s="168"/>
      <c r="D162" s="201"/>
      <c r="E162" s="166"/>
      <c r="F162" s="270"/>
      <c r="G162" s="145"/>
      <c r="H162" s="145"/>
      <c r="J162" s="51"/>
      <c r="K162" s="54"/>
      <c r="L162" s="57"/>
      <c r="M162" s="55"/>
    </row>
    <row r="163" spans="2:13" ht="15.6" x14ac:dyDescent="0.3">
      <c r="B163" s="239"/>
      <c r="C163" s="240"/>
      <c r="D163" s="282" t="s">
        <v>479</v>
      </c>
      <c r="E163" s="283"/>
      <c r="F163" s="245"/>
      <c r="G163" s="280">
        <v>0.75</v>
      </c>
      <c r="H163" s="247">
        <v>45969</v>
      </c>
      <c r="J163" s="58"/>
      <c r="K163" s="60"/>
      <c r="L163" s="61"/>
      <c r="M163" s="62"/>
    </row>
    <row r="164" spans="2:13" ht="15.6" x14ac:dyDescent="0.3">
      <c r="B164" s="263"/>
      <c r="C164" s="264"/>
      <c r="D164" s="284"/>
      <c r="E164" s="285"/>
      <c r="F164" s="246"/>
      <c r="G164" s="248"/>
      <c r="H164" s="248"/>
      <c r="J164" s="59"/>
      <c r="K164" s="63"/>
      <c r="L164" s="64"/>
      <c r="M164" s="65"/>
    </row>
    <row r="165" spans="2:13" ht="15.6" x14ac:dyDescent="0.3">
      <c r="B165" s="169" t="s">
        <v>440</v>
      </c>
      <c r="C165" s="199"/>
      <c r="D165" s="163" t="s">
        <v>411</v>
      </c>
      <c r="E165" s="164"/>
      <c r="F165" s="161"/>
      <c r="G165" s="142">
        <v>0.75</v>
      </c>
      <c r="H165" s="144">
        <v>45976</v>
      </c>
      <c r="J165" s="50"/>
      <c r="K165" s="52"/>
      <c r="L165" s="56"/>
      <c r="M165" s="53"/>
    </row>
    <row r="166" spans="2:13" ht="15.6" x14ac:dyDescent="0.3">
      <c r="B166" s="167"/>
      <c r="C166" s="168"/>
      <c r="D166" s="165"/>
      <c r="E166" s="166"/>
      <c r="F166" s="162"/>
      <c r="G166" s="145"/>
      <c r="H166" s="145"/>
      <c r="J166" s="51"/>
      <c r="K166" s="54"/>
      <c r="L166" s="57"/>
      <c r="M166" s="55"/>
    </row>
    <row r="167" spans="2:13" ht="15.6" x14ac:dyDescent="0.3">
      <c r="B167" s="239" t="s">
        <v>321</v>
      </c>
      <c r="C167" s="240"/>
      <c r="D167" s="254" t="s">
        <v>141</v>
      </c>
      <c r="E167" s="242"/>
      <c r="F167" s="245"/>
      <c r="G167" s="280">
        <v>0.75</v>
      </c>
      <c r="H167" s="247">
        <v>45983</v>
      </c>
      <c r="J167" s="255"/>
      <c r="K167" s="257"/>
      <c r="L167" s="258"/>
      <c r="M167" s="259"/>
    </row>
    <row r="168" spans="2:13" ht="15.6" x14ac:dyDescent="0.3">
      <c r="B168" s="263"/>
      <c r="C168" s="264"/>
      <c r="D168" s="243"/>
      <c r="E168" s="244"/>
      <c r="F168" s="246"/>
      <c r="G168" s="248"/>
      <c r="H168" s="248"/>
      <c r="J168" s="256"/>
      <c r="K168" s="260"/>
      <c r="L168" s="261"/>
      <c r="M168" s="262"/>
    </row>
    <row r="171" spans="2:13" ht="23.4" x14ac:dyDescent="0.45">
      <c r="B171" s="24"/>
      <c r="C171" s="25"/>
      <c r="D171" s="281" t="s">
        <v>372</v>
      </c>
      <c r="E171" s="281"/>
      <c r="F171" s="25"/>
      <c r="G171" s="26"/>
      <c r="H171" s="26"/>
    </row>
    <row r="172" spans="2:13" ht="18" x14ac:dyDescent="0.3">
      <c r="B172" s="271" t="s">
        <v>319</v>
      </c>
      <c r="C172" s="272"/>
      <c r="D172" s="273"/>
      <c r="E172" s="273"/>
      <c r="F172" s="273"/>
      <c r="G172" s="273"/>
      <c r="H172" s="22"/>
    </row>
    <row r="173" spans="2:13" ht="18" x14ac:dyDescent="0.3">
      <c r="B173" s="274" t="s">
        <v>320</v>
      </c>
      <c r="C173" s="275"/>
      <c r="D173" s="252"/>
      <c r="E173" s="252"/>
      <c r="F173" s="252"/>
      <c r="G173" s="252"/>
      <c r="H173" s="23"/>
    </row>
    <row r="174" spans="2:13" ht="21" x14ac:dyDescent="0.4">
      <c r="B174" s="249" t="s">
        <v>307</v>
      </c>
      <c r="C174" s="250"/>
      <c r="D174" s="251" t="s">
        <v>127</v>
      </c>
      <c r="E174" s="251"/>
      <c r="F174" s="28" t="s">
        <v>308</v>
      </c>
      <c r="G174" s="29" t="s">
        <v>313</v>
      </c>
      <c r="H174" s="30" t="s">
        <v>306</v>
      </c>
      <c r="I174" s="21"/>
      <c r="J174" s="31" t="s">
        <v>314</v>
      </c>
      <c r="K174" s="31" t="s">
        <v>315</v>
      </c>
      <c r="L174" s="276" t="s">
        <v>316</v>
      </c>
      <c r="M174" s="277"/>
    </row>
    <row r="175" spans="2:13" ht="15.6" x14ac:dyDescent="0.3">
      <c r="B175" s="169"/>
      <c r="C175" s="199"/>
      <c r="D175" s="278"/>
      <c r="E175" s="268"/>
      <c r="F175" s="268"/>
      <c r="G175" s="144"/>
      <c r="H175" s="144">
        <v>45261</v>
      </c>
      <c r="I175" s="21"/>
      <c r="J175" s="50"/>
      <c r="K175" s="52"/>
      <c r="L175" s="56"/>
      <c r="M175" s="53"/>
    </row>
    <row r="176" spans="2:13" ht="15.6" x14ac:dyDescent="0.3">
      <c r="B176" s="167"/>
      <c r="C176" s="168"/>
      <c r="D176" s="279"/>
      <c r="E176" s="270"/>
      <c r="F176" s="270"/>
      <c r="G176" s="145"/>
      <c r="H176" s="145"/>
      <c r="J176" s="51"/>
      <c r="K176" s="54"/>
      <c r="L176" s="57"/>
      <c r="M176" s="55"/>
    </row>
    <row r="177" spans="2:13" ht="15.6" x14ac:dyDescent="0.3">
      <c r="B177" s="239"/>
      <c r="C177" s="240"/>
      <c r="D177" s="265"/>
      <c r="E177" s="242"/>
      <c r="F177" s="245"/>
      <c r="G177" s="247"/>
      <c r="H177" s="247">
        <v>45268</v>
      </c>
      <c r="J177" s="58"/>
      <c r="K177" s="60"/>
      <c r="L177" s="61"/>
      <c r="M177" s="62"/>
    </row>
    <row r="178" spans="2:13" ht="15.6" x14ac:dyDescent="0.3">
      <c r="B178" s="263"/>
      <c r="C178" s="264"/>
      <c r="D178" s="266"/>
      <c r="E178" s="244"/>
      <c r="F178" s="246"/>
      <c r="G178" s="248"/>
      <c r="H178" s="248"/>
      <c r="J178" s="59"/>
      <c r="K178" s="63"/>
      <c r="L178" s="64"/>
      <c r="M178" s="65"/>
    </row>
    <row r="179" spans="2:13" ht="15.6" x14ac:dyDescent="0.3">
      <c r="B179" s="169"/>
      <c r="C179" s="199"/>
      <c r="D179" s="267"/>
      <c r="E179" s="268"/>
      <c r="F179" s="161"/>
      <c r="G179" s="144"/>
      <c r="H179" s="144">
        <v>45275</v>
      </c>
      <c r="J179" s="50"/>
      <c r="K179" s="52"/>
      <c r="L179" s="56"/>
      <c r="M179" s="53"/>
    </row>
    <row r="180" spans="2:13" ht="15.6" x14ac:dyDescent="0.3">
      <c r="B180" s="167"/>
      <c r="C180" s="168"/>
      <c r="D180" s="269"/>
      <c r="E180" s="270"/>
      <c r="F180" s="162"/>
      <c r="G180" s="145"/>
      <c r="H180" s="145"/>
      <c r="J180" s="51"/>
      <c r="K180" s="54"/>
      <c r="L180" s="57"/>
      <c r="M180" s="55"/>
    </row>
    <row r="181" spans="2:13" ht="15.6" x14ac:dyDescent="0.3">
      <c r="B181" s="239"/>
      <c r="C181" s="240"/>
      <c r="D181" s="254"/>
      <c r="E181" s="242"/>
      <c r="F181" s="245"/>
      <c r="G181" s="247"/>
      <c r="H181" s="247">
        <v>45282</v>
      </c>
      <c r="J181" s="255"/>
      <c r="K181" s="257"/>
      <c r="L181" s="258"/>
      <c r="M181" s="259"/>
    </row>
    <row r="182" spans="2:13" ht="15.6" x14ac:dyDescent="0.3">
      <c r="B182" s="263"/>
      <c r="C182" s="264"/>
      <c r="D182" s="243"/>
      <c r="E182" s="244"/>
      <c r="F182" s="246"/>
      <c r="G182" s="248"/>
      <c r="H182" s="248"/>
      <c r="J182" s="256"/>
      <c r="K182" s="260"/>
      <c r="L182" s="261"/>
      <c r="M182" s="262"/>
    </row>
    <row r="183" spans="2:13" ht="15.6" x14ac:dyDescent="0.3">
      <c r="B183" s="169"/>
      <c r="C183" s="199"/>
      <c r="D183" s="267"/>
      <c r="E183" s="268"/>
      <c r="F183" s="161"/>
      <c r="G183" s="144"/>
      <c r="H183" s="144">
        <v>45289</v>
      </c>
      <c r="J183" s="50"/>
      <c r="K183" s="52"/>
      <c r="L183" s="56"/>
      <c r="M183" s="53"/>
    </row>
    <row r="184" spans="2:13" ht="15.6" x14ac:dyDescent="0.3">
      <c r="B184" s="167"/>
      <c r="C184" s="168"/>
      <c r="D184" s="269"/>
      <c r="E184" s="270"/>
      <c r="F184" s="162"/>
      <c r="G184" s="145"/>
      <c r="H184" s="145"/>
      <c r="J184" s="51"/>
      <c r="K184" s="54"/>
      <c r="L184" s="57"/>
      <c r="M184" s="55"/>
    </row>
  </sheetData>
  <mergeCells count="498">
    <mergeCell ref="K77:M78"/>
    <mergeCell ref="J77:J78"/>
    <mergeCell ref="H77:H78"/>
    <mergeCell ref="G77:G78"/>
    <mergeCell ref="F77:F78"/>
    <mergeCell ref="D77:E78"/>
    <mergeCell ref="B77:C77"/>
    <mergeCell ref="B78:C78"/>
    <mergeCell ref="B74:C74"/>
    <mergeCell ref="H73:H74"/>
    <mergeCell ref="G73:G74"/>
    <mergeCell ref="F73:F74"/>
    <mergeCell ref="D73:E74"/>
    <mergeCell ref="B73:C73"/>
    <mergeCell ref="H75:H76"/>
    <mergeCell ref="G75:G76"/>
    <mergeCell ref="F75:F76"/>
    <mergeCell ref="D75:E76"/>
    <mergeCell ref="J73:J74"/>
    <mergeCell ref="K73:M74"/>
    <mergeCell ref="B76:C76"/>
    <mergeCell ref="B83:C83"/>
    <mergeCell ref="B84:C84"/>
    <mergeCell ref="D84:E84"/>
    <mergeCell ref="J89:J90"/>
    <mergeCell ref="B90:C90"/>
    <mergeCell ref="B85:C85"/>
    <mergeCell ref="B86:C86"/>
    <mergeCell ref="B88:C88"/>
    <mergeCell ref="B89:C89"/>
    <mergeCell ref="B87:C87"/>
    <mergeCell ref="H87:H88"/>
    <mergeCell ref="D83:H83"/>
    <mergeCell ref="D51:H51"/>
    <mergeCell ref="K131:M132"/>
    <mergeCell ref="K135:M136"/>
    <mergeCell ref="K139:M140"/>
    <mergeCell ref="D112:E112"/>
    <mergeCell ref="G112:H112"/>
    <mergeCell ref="D96:E96"/>
    <mergeCell ref="G96:H96"/>
    <mergeCell ref="D82:E82"/>
    <mergeCell ref="G82:H82"/>
    <mergeCell ref="D66:E66"/>
    <mergeCell ref="G66:H66"/>
    <mergeCell ref="K89:M90"/>
    <mergeCell ref="D85:E86"/>
    <mergeCell ref="F85:F86"/>
    <mergeCell ref="G85:G86"/>
    <mergeCell ref="H85:H86"/>
    <mergeCell ref="D89:E90"/>
    <mergeCell ref="F89:F90"/>
    <mergeCell ref="G89:G90"/>
    <mergeCell ref="H89:H90"/>
    <mergeCell ref="D87:E88"/>
    <mergeCell ref="F87:F88"/>
    <mergeCell ref="G87:G88"/>
    <mergeCell ref="B183:C183"/>
    <mergeCell ref="D183:E184"/>
    <mergeCell ref="F183:F184"/>
    <mergeCell ref="G183:G184"/>
    <mergeCell ref="H183:H184"/>
    <mergeCell ref="B184:C184"/>
    <mergeCell ref="B112:C112"/>
    <mergeCell ref="B113:C113"/>
    <mergeCell ref="B114:C114"/>
    <mergeCell ref="D114:E114"/>
    <mergeCell ref="B119:C119"/>
    <mergeCell ref="D119:E120"/>
    <mergeCell ref="F119:F120"/>
    <mergeCell ref="G119:G120"/>
    <mergeCell ref="H119:H120"/>
    <mergeCell ref="B120:C120"/>
    <mergeCell ref="B121:C121"/>
    <mergeCell ref="G131:G132"/>
    <mergeCell ref="H131:H132"/>
    <mergeCell ref="B132:C132"/>
    <mergeCell ref="B133:C133"/>
    <mergeCell ref="D133:E134"/>
    <mergeCell ref="F133:F134"/>
    <mergeCell ref="G133:G134"/>
    <mergeCell ref="B67:C67"/>
    <mergeCell ref="B72:C72"/>
    <mergeCell ref="B71:C71"/>
    <mergeCell ref="D71:E72"/>
    <mergeCell ref="F71:F72"/>
    <mergeCell ref="G71:G72"/>
    <mergeCell ref="H71:H72"/>
    <mergeCell ref="B56:C56"/>
    <mergeCell ref="B57:C57"/>
    <mergeCell ref="D57:E58"/>
    <mergeCell ref="F57:F58"/>
    <mergeCell ref="G57:G58"/>
    <mergeCell ref="H59:H60"/>
    <mergeCell ref="J59:J60"/>
    <mergeCell ref="K59:M60"/>
    <mergeCell ref="B58:C58"/>
    <mergeCell ref="G61:G62"/>
    <mergeCell ref="H61:H62"/>
    <mergeCell ref="B62:C62"/>
    <mergeCell ref="H57:H58"/>
    <mergeCell ref="B59:C59"/>
    <mergeCell ref="D59:E60"/>
    <mergeCell ref="F59:F60"/>
    <mergeCell ref="J57:J58"/>
    <mergeCell ref="K57:M58"/>
    <mergeCell ref="J53:J54"/>
    <mergeCell ref="G59:G60"/>
    <mergeCell ref="B60:C60"/>
    <mergeCell ref="D65:E65"/>
    <mergeCell ref="B66:C66"/>
    <mergeCell ref="K53:M54"/>
    <mergeCell ref="B53:C53"/>
    <mergeCell ref="D53:E54"/>
    <mergeCell ref="F53:F54"/>
    <mergeCell ref="G53:G54"/>
    <mergeCell ref="H55:H56"/>
    <mergeCell ref="J55:J56"/>
    <mergeCell ref="K55:M56"/>
    <mergeCell ref="B54:C54"/>
    <mergeCell ref="H53:H54"/>
    <mergeCell ref="B55:C55"/>
    <mergeCell ref="D55:E56"/>
    <mergeCell ref="F55:F56"/>
    <mergeCell ref="G55:G56"/>
    <mergeCell ref="J61:J62"/>
    <mergeCell ref="K61:M62"/>
    <mergeCell ref="B61:C61"/>
    <mergeCell ref="D61:E62"/>
    <mergeCell ref="F61:F62"/>
    <mergeCell ref="B52:C52"/>
    <mergeCell ref="D52:E52"/>
    <mergeCell ref="L52:M52"/>
    <mergeCell ref="J43:J44"/>
    <mergeCell ref="K43:M44"/>
    <mergeCell ref="B44:C44"/>
    <mergeCell ref="D49:E49"/>
    <mergeCell ref="B50:C50"/>
    <mergeCell ref="B43:C43"/>
    <mergeCell ref="D43:E44"/>
    <mergeCell ref="F43:F44"/>
    <mergeCell ref="G43:G44"/>
    <mergeCell ref="H43:H44"/>
    <mergeCell ref="B51:C51"/>
    <mergeCell ref="J45:J46"/>
    <mergeCell ref="K45:M46"/>
    <mergeCell ref="D50:E50"/>
    <mergeCell ref="G50:H50"/>
    <mergeCell ref="B45:C45"/>
    <mergeCell ref="D45:E46"/>
    <mergeCell ref="F45:F46"/>
    <mergeCell ref="G45:G46"/>
    <mergeCell ref="H45:H46"/>
    <mergeCell ref="B46:C46"/>
    <mergeCell ref="B41:C41"/>
    <mergeCell ref="D41:E42"/>
    <mergeCell ref="F41:F42"/>
    <mergeCell ref="G41:G42"/>
    <mergeCell ref="H41:H42"/>
    <mergeCell ref="J41:J42"/>
    <mergeCell ref="D34:E34"/>
    <mergeCell ref="G34:H34"/>
    <mergeCell ref="L36:M36"/>
    <mergeCell ref="B37:C37"/>
    <mergeCell ref="D37:E38"/>
    <mergeCell ref="F37:F38"/>
    <mergeCell ref="G37:G38"/>
    <mergeCell ref="H37:H38"/>
    <mergeCell ref="J37:J38"/>
    <mergeCell ref="K37:M38"/>
    <mergeCell ref="B38:C38"/>
    <mergeCell ref="G9:G10"/>
    <mergeCell ref="D7:H7"/>
    <mergeCell ref="G6:H6"/>
    <mergeCell ref="B6:C6"/>
    <mergeCell ref="B16:C16"/>
    <mergeCell ref="B14:C14"/>
    <mergeCell ref="B15:C15"/>
    <mergeCell ref="B36:C36"/>
    <mergeCell ref="D36:E36"/>
    <mergeCell ref="B7:C7"/>
    <mergeCell ref="B10:C10"/>
    <mergeCell ref="B11:C11"/>
    <mergeCell ref="B8:C8"/>
    <mergeCell ref="D33:E33"/>
    <mergeCell ref="B34:C34"/>
    <mergeCell ref="B9:C9"/>
    <mergeCell ref="D19:E19"/>
    <mergeCell ref="B12:C12"/>
    <mergeCell ref="B13:C13"/>
    <mergeCell ref="B20:C20"/>
    <mergeCell ref="B21:C21"/>
    <mergeCell ref="D21:G21"/>
    <mergeCell ref="B22:C22"/>
    <mergeCell ref="D22:E22"/>
    <mergeCell ref="J11:J12"/>
    <mergeCell ref="F13:F14"/>
    <mergeCell ref="F11:F12"/>
    <mergeCell ref="G11:G12"/>
    <mergeCell ref="D15:E16"/>
    <mergeCell ref="D2:E2"/>
    <mergeCell ref="J2:M2"/>
    <mergeCell ref="D3:E3"/>
    <mergeCell ref="D5:E5"/>
    <mergeCell ref="G13:G14"/>
    <mergeCell ref="H13:H14"/>
    <mergeCell ref="J13:J14"/>
    <mergeCell ref="H11:H12"/>
    <mergeCell ref="H9:H10"/>
    <mergeCell ref="J9:J10"/>
    <mergeCell ref="K13:M14"/>
    <mergeCell ref="K9:M10"/>
    <mergeCell ref="K11:M12"/>
    <mergeCell ref="D11:E12"/>
    <mergeCell ref="D9:E10"/>
    <mergeCell ref="D8:E8"/>
    <mergeCell ref="L8:M8"/>
    <mergeCell ref="F9:F10"/>
    <mergeCell ref="D13:E14"/>
    <mergeCell ref="F15:F16"/>
    <mergeCell ref="G15:G16"/>
    <mergeCell ref="H15:H16"/>
    <mergeCell ref="L22:M22"/>
    <mergeCell ref="B23:C23"/>
    <mergeCell ref="D23:E24"/>
    <mergeCell ref="F23:F24"/>
    <mergeCell ref="G23:G24"/>
    <mergeCell ref="H23:H24"/>
    <mergeCell ref="J23:J24"/>
    <mergeCell ref="K23:M24"/>
    <mergeCell ref="B24:C24"/>
    <mergeCell ref="K15:M16"/>
    <mergeCell ref="J15:J16"/>
    <mergeCell ref="G20:H20"/>
    <mergeCell ref="D20:E20"/>
    <mergeCell ref="J25:J26"/>
    <mergeCell ref="K25:M26"/>
    <mergeCell ref="B26:C26"/>
    <mergeCell ref="B27:C27"/>
    <mergeCell ref="D27:E28"/>
    <mergeCell ref="F27:F28"/>
    <mergeCell ref="G27:G28"/>
    <mergeCell ref="H27:H28"/>
    <mergeCell ref="J27:J28"/>
    <mergeCell ref="K27:M28"/>
    <mergeCell ref="B28:C28"/>
    <mergeCell ref="B25:C25"/>
    <mergeCell ref="D25:E26"/>
    <mergeCell ref="F25:F26"/>
    <mergeCell ref="G25:G26"/>
    <mergeCell ref="H25:H26"/>
    <mergeCell ref="D81:E81"/>
    <mergeCell ref="B82:C82"/>
    <mergeCell ref="B75:C75"/>
    <mergeCell ref="J29:J30"/>
    <mergeCell ref="K29:M30"/>
    <mergeCell ref="B30:C30"/>
    <mergeCell ref="B29:C29"/>
    <mergeCell ref="D29:E30"/>
    <mergeCell ref="F29:F30"/>
    <mergeCell ref="G29:G30"/>
    <mergeCell ref="H29:H30"/>
    <mergeCell ref="D35:H35"/>
    <mergeCell ref="B35:C35"/>
    <mergeCell ref="K41:M42"/>
    <mergeCell ref="B42:C42"/>
    <mergeCell ref="B39:C39"/>
    <mergeCell ref="D39:E40"/>
    <mergeCell ref="F39:F40"/>
    <mergeCell ref="G39:G40"/>
    <mergeCell ref="H39:H40"/>
    <mergeCell ref="J39:J40"/>
    <mergeCell ref="D67:H67"/>
    <mergeCell ref="K39:M40"/>
    <mergeCell ref="B40:C40"/>
    <mergeCell ref="L98:M98"/>
    <mergeCell ref="B99:C99"/>
    <mergeCell ref="D99:E100"/>
    <mergeCell ref="F99:F100"/>
    <mergeCell ref="G99:G100"/>
    <mergeCell ref="H99:H100"/>
    <mergeCell ref="B100:C100"/>
    <mergeCell ref="L68:M68"/>
    <mergeCell ref="K69:M70"/>
    <mergeCell ref="J69:J70"/>
    <mergeCell ref="L84:M84"/>
    <mergeCell ref="D95:E95"/>
    <mergeCell ref="B96:C96"/>
    <mergeCell ref="B97:C97"/>
    <mergeCell ref="B68:C68"/>
    <mergeCell ref="D68:E68"/>
    <mergeCell ref="D69:E70"/>
    <mergeCell ref="F69:F70"/>
    <mergeCell ref="G69:G70"/>
    <mergeCell ref="H69:H70"/>
    <mergeCell ref="B70:C70"/>
    <mergeCell ref="B69:C69"/>
    <mergeCell ref="B91:C91"/>
    <mergeCell ref="D91:E92"/>
    <mergeCell ref="J105:J106"/>
    <mergeCell ref="K105:M106"/>
    <mergeCell ref="B106:C106"/>
    <mergeCell ref="D111:E111"/>
    <mergeCell ref="B101:C101"/>
    <mergeCell ref="D101:E102"/>
    <mergeCell ref="F101:F102"/>
    <mergeCell ref="G101:G102"/>
    <mergeCell ref="H101:H102"/>
    <mergeCell ref="B102:C102"/>
    <mergeCell ref="B103:C103"/>
    <mergeCell ref="D103:E104"/>
    <mergeCell ref="F103:F104"/>
    <mergeCell ref="G103:G104"/>
    <mergeCell ref="H103:H104"/>
    <mergeCell ref="B104:C104"/>
    <mergeCell ref="B107:C107"/>
    <mergeCell ref="D107:E108"/>
    <mergeCell ref="F107:F108"/>
    <mergeCell ref="G107:G108"/>
    <mergeCell ref="H107:H108"/>
    <mergeCell ref="B108:C108"/>
    <mergeCell ref="L114:M114"/>
    <mergeCell ref="B115:C115"/>
    <mergeCell ref="D115:E116"/>
    <mergeCell ref="F115:F116"/>
    <mergeCell ref="G115:G116"/>
    <mergeCell ref="H115:H116"/>
    <mergeCell ref="B116:C116"/>
    <mergeCell ref="D113:H113"/>
    <mergeCell ref="B117:C117"/>
    <mergeCell ref="D117:E118"/>
    <mergeCell ref="F117:F118"/>
    <mergeCell ref="G117:G118"/>
    <mergeCell ref="H117:H118"/>
    <mergeCell ref="B118:C118"/>
    <mergeCell ref="J121:J122"/>
    <mergeCell ref="K121:M122"/>
    <mergeCell ref="B122:C122"/>
    <mergeCell ref="D127:E127"/>
    <mergeCell ref="B128:C128"/>
    <mergeCell ref="D128:E128"/>
    <mergeCell ref="G128:H128"/>
    <mergeCell ref="B129:C129"/>
    <mergeCell ref="B130:C130"/>
    <mergeCell ref="D130:E130"/>
    <mergeCell ref="L130:M130"/>
    <mergeCell ref="D121:E122"/>
    <mergeCell ref="F121:F122"/>
    <mergeCell ref="G121:G122"/>
    <mergeCell ref="H121:H122"/>
    <mergeCell ref="D129:H129"/>
    <mergeCell ref="B123:C123"/>
    <mergeCell ref="D123:E124"/>
    <mergeCell ref="F123:F124"/>
    <mergeCell ref="G123:G124"/>
    <mergeCell ref="H123:H124"/>
    <mergeCell ref="B124:C124"/>
    <mergeCell ref="H133:H134"/>
    <mergeCell ref="B134:C134"/>
    <mergeCell ref="B131:C131"/>
    <mergeCell ref="D131:E132"/>
    <mergeCell ref="F131:F132"/>
    <mergeCell ref="B135:C135"/>
    <mergeCell ref="D135:E136"/>
    <mergeCell ref="F135:F136"/>
    <mergeCell ref="G135:G136"/>
    <mergeCell ref="H135:H136"/>
    <mergeCell ref="B136:C136"/>
    <mergeCell ref="B137:C137"/>
    <mergeCell ref="D137:E138"/>
    <mergeCell ref="F137:F138"/>
    <mergeCell ref="G137:G138"/>
    <mergeCell ref="H137:H138"/>
    <mergeCell ref="J137:J138"/>
    <mergeCell ref="K137:M138"/>
    <mergeCell ref="B138:C138"/>
    <mergeCell ref="D143:E143"/>
    <mergeCell ref="B139:C139"/>
    <mergeCell ref="D139:E140"/>
    <mergeCell ref="F139:F140"/>
    <mergeCell ref="G139:G140"/>
    <mergeCell ref="H139:H140"/>
    <mergeCell ref="B140:C140"/>
    <mergeCell ref="B144:C144"/>
    <mergeCell ref="B145:C145"/>
    <mergeCell ref="B146:C146"/>
    <mergeCell ref="D146:E146"/>
    <mergeCell ref="L146:M146"/>
    <mergeCell ref="B147:C147"/>
    <mergeCell ref="D147:E148"/>
    <mergeCell ref="F147:F148"/>
    <mergeCell ref="G147:G148"/>
    <mergeCell ref="H147:H148"/>
    <mergeCell ref="B148:C148"/>
    <mergeCell ref="D144:E144"/>
    <mergeCell ref="G144:H144"/>
    <mergeCell ref="D145:H145"/>
    <mergeCell ref="B149:C149"/>
    <mergeCell ref="D149:E150"/>
    <mergeCell ref="F149:F150"/>
    <mergeCell ref="G149:G150"/>
    <mergeCell ref="H149:H150"/>
    <mergeCell ref="B150:C150"/>
    <mergeCell ref="B151:C151"/>
    <mergeCell ref="D151:E152"/>
    <mergeCell ref="F151:F152"/>
    <mergeCell ref="G151:G152"/>
    <mergeCell ref="H151:H152"/>
    <mergeCell ref="B152:C152"/>
    <mergeCell ref="B153:C153"/>
    <mergeCell ref="D153:E154"/>
    <mergeCell ref="F153:F154"/>
    <mergeCell ref="G153:G154"/>
    <mergeCell ref="H153:H154"/>
    <mergeCell ref="J153:J154"/>
    <mergeCell ref="K153:M154"/>
    <mergeCell ref="B154:C154"/>
    <mergeCell ref="D157:E157"/>
    <mergeCell ref="B158:C158"/>
    <mergeCell ref="B159:C159"/>
    <mergeCell ref="B160:C160"/>
    <mergeCell ref="D160:E160"/>
    <mergeCell ref="L160:M160"/>
    <mergeCell ref="B161:C161"/>
    <mergeCell ref="D161:E162"/>
    <mergeCell ref="F161:F162"/>
    <mergeCell ref="G161:G162"/>
    <mergeCell ref="H161:H162"/>
    <mergeCell ref="B162:C162"/>
    <mergeCell ref="D158:E158"/>
    <mergeCell ref="G158:H158"/>
    <mergeCell ref="D159:H159"/>
    <mergeCell ref="B163:C163"/>
    <mergeCell ref="D163:E164"/>
    <mergeCell ref="F163:F164"/>
    <mergeCell ref="G163:G164"/>
    <mergeCell ref="H163:H164"/>
    <mergeCell ref="B164:C164"/>
    <mergeCell ref="B165:C165"/>
    <mergeCell ref="D165:E166"/>
    <mergeCell ref="F165:F166"/>
    <mergeCell ref="G165:G166"/>
    <mergeCell ref="H165:H166"/>
    <mergeCell ref="B166:C166"/>
    <mergeCell ref="B167:C167"/>
    <mergeCell ref="D167:E168"/>
    <mergeCell ref="F167:F168"/>
    <mergeCell ref="G167:G168"/>
    <mergeCell ref="H167:H168"/>
    <mergeCell ref="J167:J168"/>
    <mergeCell ref="K167:M168"/>
    <mergeCell ref="B168:C168"/>
    <mergeCell ref="D171:E171"/>
    <mergeCell ref="B172:C172"/>
    <mergeCell ref="D172:G172"/>
    <mergeCell ref="B173:C173"/>
    <mergeCell ref="D173:G173"/>
    <mergeCell ref="B174:C174"/>
    <mergeCell ref="D174:E174"/>
    <mergeCell ref="L174:M174"/>
    <mergeCell ref="B175:C175"/>
    <mergeCell ref="D175:E176"/>
    <mergeCell ref="F175:F176"/>
    <mergeCell ref="G175:G176"/>
    <mergeCell ref="H175:H176"/>
    <mergeCell ref="B176:C176"/>
    <mergeCell ref="B181:C181"/>
    <mergeCell ref="D181:E182"/>
    <mergeCell ref="F181:F182"/>
    <mergeCell ref="G181:G182"/>
    <mergeCell ref="H181:H182"/>
    <mergeCell ref="J181:J182"/>
    <mergeCell ref="K181:M182"/>
    <mergeCell ref="B182:C182"/>
    <mergeCell ref="B177:C177"/>
    <mergeCell ref="D177:E178"/>
    <mergeCell ref="F177:F178"/>
    <mergeCell ref="G177:G178"/>
    <mergeCell ref="H177:H178"/>
    <mergeCell ref="B178:C178"/>
    <mergeCell ref="B179:C179"/>
    <mergeCell ref="D179:E180"/>
    <mergeCell ref="F179:F180"/>
    <mergeCell ref="G179:G180"/>
    <mergeCell ref="H179:H180"/>
    <mergeCell ref="B180:C180"/>
    <mergeCell ref="F91:F92"/>
    <mergeCell ref="G91:G92"/>
    <mergeCell ref="H91:H92"/>
    <mergeCell ref="B92:C92"/>
    <mergeCell ref="B105:C105"/>
    <mergeCell ref="D105:E106"/>
    <mergeCell ref="F105:F106"/>
    <mergeCell ref="G105:G106"/>
    <mergeCell ref="H105:H106"/>
    <mergeCell ref="B98:C98"/>
    <mergeCell ref="D98:E98"/>
    <mergeCell ref="D97:H97"/>
  </mergeCells>
  <pageMargins left="0.25" right="0.25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05DAE-B266-433C-B054-17C78676860E}">
  <dimension ref="B2:H57"/>
  <sheetViews>
    <sheetView zoomScaleNormal="100" workbookViewId="0">
      <selection activeCell="P14" sqref="P14"/>
    </sheetView>
  </sheetViews>
  <sheetFormatPr baseColWidth="10" defaultColWidth="8.77734375" defaultRowHeight="14.4" x14ac:dyDescent="0.3"/>
  <cols>
    <col min="1" max="1" width="5.5546875" customWidth="1"/>
    <col min="2" max="2" width="10.88671875" customWidth="1"/>
    <col min="3" max="8" width="10.88671875"/>
  </cols>
  <sheetData>
    <row r="2" spans="2:8" ht="23.55" customHeight="1" x14ac:dyDescent="0.5">
      <c r="B2" s="362" t="s">
        <v>322</v>
      </c>
      <c r="C2" s="362"/>
      <c r="D2" s="362"/>
      <c r="E2" s="362"/>
      <c r="F2" s="362"/>
      <c r="G2" s="362"/>
      <c r="H2" s="362"/>
    </row>
    <row r="3" spans="2:8" ht="15.6" x14ac:dyDescent="0.3">
      <c r="B3" s="363" t="s">
        <v>549</v>
      </c>
      <c r="C3" s="364"/>
      <c r="D3" s="364"/>
      <c r="E3" s="364"/>
      <c r="F3" s="364"/>
      <c r="G3" s="364"/>
      <c r="H3" s="365"/>
    </row>
    <row r="4" spans="2:8" ht="15.6" x14ac:dyDescent="0.3">
      <c r="B4" s="366" t="s">
        <v>375</v>
      </c>
      <c r="C4" s="367"/>
      <c r="D4" s="367"/>
      <c r="E4" s="367"/>
      <c r="F4" s="368" t="s">
        <v>377</v>
      </c>
      <c r="G4" s="368"/>
      <c r="H4" s="369"/>
    </row>
    <row r="6" spans="2:8" ht="17.399999999999999" x14ac:dyDescent="0.35">
      <c r="B6" s="36" t="s">
        <v>323</v>
      </c>
      <c r="C6" s="350" t="s">
        <v>440</v>
      </c>
      <c r="D6" s="351"/>
      <c r="E6" s="351"/>
      <c r="F6" s="352"/>
      <c r="G6" s="353" t="s">
        <v>340</v>
      </c>
      <c r="H6" s="354"/>
    </row>
    <row r="7" spans="2:8" ht="17.399999999999999" x14ac:dyDescent="0.35">
      <c r="B7" s="36" t="s">
        <v>324</v>
      </c>
      <c r="C7" s="355" t="s">
        <v>441</v>
      </c>
      <c r="D7" s="356"/>
      <c r="E7" s="356"/>
      <c r="F7" s="357"/>
      <c r="G7" s="358" t="s">
        <v>358</v>
      </c>
      <c r="H7" s="358"/>
    </row>
    <row r="8" spans="2:8" ht="18" x14ac:dyDescent="0.35">
      <c r="B8" s="37" t="s">
        <v>325</v>
      </c>
      <c r="C8" s="347" t="s">
        <v>127</v>
      </c>
      <c r="D8" s="348"/>
      <c r="E8" s="348"/>
      <c r="F8" s="348"/>
      <c r="G8" s="349"/>
      <c r="H8" s="38" t="s">
        <v>308</v>
      </c>
    </row>
    <row r="9" spans="2:8" ht="15.6" customHeight="1" x14ac:dyDescent="0.3">
      <c r="B9" s="35">
        <v>52</v>
      </c>
      <c r="C9" s="359" t="s">
        <v>442</v>
      </c>
      <c r="D9" s="360"/>
      <c r="E9" s="360"/>
      <c r="F9" s="360"/>
      <c r="G9" s="361"/>
      <c r="H9" s="34">
        <v>2</v>
      </c>
    </row>
    <row r="10" spans="2:8" ht="15.6" customHeight="1" x14ac:dyDescent="0.3">
      <c r="B10" s="35"/>
      <c r="C10" s="359" t="s">
        <v>443</v>
      </c>
      <c r="D10" s="360"/>
      <c r="E10" s="360"/>
      <c r="F10" s="360"/>
      <c r="G10" s="361"/>
      <c r="H10" s="34"/>
    </row>
    <row r="11" spans="2:8" ht="15.6" x14ac:dyDescent="0.3">
      <c r="B11" s="48"/>
      <c r="C11" s="49"/>
      <c r="D11" s="49"/>
      <c r="E11" s="49"/>
      <c r="F11" s="49"/>
      <c r="G11" s="49"/>
      <c r="H11" s="8"/>
    </row>
    <row r="12" spans="2:8" ht="17.399999999999999" x14ac:dyDescent="0.35">
      <c r="B12" s="36" t="s">
        <v>323</v>
      </c>
      <c r="C12" s="350" t="s">
        <v>326</v>
      </c>
      <c r="D12" s="351"/>
      <c r="E12" s="351"/>
      <c r="F12" s="351"/>
      <c r="G12" s="353" t="s">
        <v>340</v>
      </c>
      <c r="H12" s="354"/>
    </row>
    <row r="13" spans="2:8" ht="17.399999999999999" x14ac:dyDescent="0.35">
      <c r="B13" s="36" t="s">
        <v>324</v>
      </c>
      <c r="C13" s="44" t="s">
        <v>327</v>
      </c>
      <c r="D13" s="45"/>
      <c r="E13" s="45"/>
      <c r="F13" s="45"/>
      <c r="G13" s="358" t="s">
        <v>358</v>
      </c>
      <c r="H13" s="358"/>
    </row>
    <row r="14" spans="2:8" ht="18" x14ac:dyDescent="0.35">
      <c r="B14" s="37" t="s">
        <v>325</v>
      </c>
      <c r="C14" s="347" t="s">
        <v>127</v>
      </c>
      <c r="D14" s="348"/>
      <c r="E14" s="348"/>
      <c r="F14" s="348"/>
      <c r="G14" s="349"/>
      <c r="H14" s="38" t="s">
        <v>308</v>
      </c>
    </row>
    <row r="15" spans="2:8" ht="15.6" x14ac:dyDescent="0.3">
      <c r="B15" s="35">
        <v>4</v>
      </c>
      <c r="C15" s="359" t="s">
        <v>138</v>
      </c>
      <c r="D15" s="360"/>
      <c r="E15" s="360"/>
      <c r="F15" s="360"/>
      <c r="G15" s="361"/>
      <c r="H15" s="41">
        <v>5</v>
      </c>
    </row>
    <row r="16" spans="2:8" ht="15.6" x14ac:dyDescent="0.3">
      <c r="B16" s="35">
        <v>96</v>
      </c>
      <c r="C16" s="359" t="s">
        <v>120</v>
      </c>
      <c r="D16" s="360"/>
      <c r="E16" s="360"/>
      <c r="F16" s="360"/>
      <c r="G16" s="361"/>
      <c r="H16" s="41">
        <v>32</v>
      </c>
    </row>
    <row r="17" spans="2:8" ht="15.6" x14ac:dyDescent="0.3">
      <c r="B17" s="35">
        <v>71</v>
      </c>
      <c r="C17" s="359" t="s">
        <v>108</v>
      </c>
      <c r="D17" s="360"/>
      <c r="E17" s="360"/>
      <c r="F17" s="360"/>
      <c r="G17" s="361"/>
      <c r="H17" s="34">
        <v>126</v>
      </c>
    </row>
    <row r="18" spans="2:8" ht="15.6" customHeight="1" x14ac:dyDescent="0.3">
      <c r="B18" s="48"/>
      <c r="C18" s="49"/>
      <c r="D18" s="49"/>
      <c r="E18" s="49"/>
      <c r="F18" s="49"/>
      <c r="G18" s="49"/>
      <c r="H18" s="8"/>
    </row>
    <row r="19" spans="2:8" ht="15.6" customHeight="1" x14ac:dyDescent="0.35">
      <c r="B19" s="39" t="s">
        <v>323</v>
      </c>
      <c r="C19" s="350" t="s">
        <v>330</v>
      </c>
      <c r="D19" s="351"/>
      <c r="E19" s="351"/>
      <c r="F19" s="352"/>
      <c r="G19" s="353" t="s">
        <v>340</v>
      </c>
      <c r="H19" s="354"/>
    </row>
    <row r="20" spans="2:8" ht="17.399999999999999" x14ac:dyDescent="0.35">
      <c r="B20" s="36" t="s">
        <v>324</v>
      </c>
      <c r="C20" s="47" t="s">
        <v>335</v>
      </c>
      <c r="D20" s="46"/>
      <c r="E20" s="46"/>
      <c r="F20" s="46"/>
      <c r="G20" s="358" t="s">
        <v>358</v>
      </c>
      <c r="H20" s="358"/>
    </row>
    <row r="21" spans="2:8" ht="18" x14ac:dyDescent="0.35">
      <c r="B21" s="37" t="s">
        <v>325</v>
      </c>
      <c r="C21" s="347" t="s">
        <v>127</v>
      </c>
      <c r="D21" s="348"/>
      <c r="E21" s="348"/>
      <c r="F21" s="348"/>
      <c r="G21" s="349"/>
      <c r="H21" s="38" t="s">
        <v>308</v>
      </c>
    </row>
    <row r="22" spans="2:8" ht="15.6" x14ac:dyDescent="0.3">
      <c r="B22" s="35">
        <v>105</v>
      </c>
      <c r="C22" s="359" t="s">
        <v>348</v>
      </c>
      <c r="D22" s="360"/>
      <c r="E22" s="360"/>
      <c r="F22" s="360"/>
      <c r="G22" s="361"/>
      <c r="H22" s="34"/>
    </row>
    <row r="23" spans="2:8" ht="15.6" x14ac:dyDescent="0.3">
      <c r="B23" s="35">
        <v>45</v>
      </c>
      <c r="C23" s="359" t="s">
        <v>349</v>
      </c>
      <c r="D23" s="360"/>
      <c r="E23" s="360"/>
      <c r="F23" s="360"/>
      <c r="G23" s="361"/>
      <c r="H23" s="34"/>
    </row>
    <row r="24" spans="2:8" ht="15.6" x14ac:dyDescent="0.3">
      <c r="B24" s="35"/>
      <c r="C24" s="359"/>
      <c r="D24" s="360"/>
      <c r="E24" s="360"/>
      <c r="F24" s="360"/>
      <c r="G24" s="361"/>
      <c r="H24" s="34"/>
    </row>
    <row r="26" spans="2:8" ht="17.399999999999999" x14ac:dyDescent="0.35">
      <c r="B26" s="36" t="s">
        <v>323</v>
      </c>
      <c r="C26" s="350" t="s">
        <v>436</v>
      </c>
      <c r="D26" s="351"/>
      <c r="E26" s="351"/>
      <c r="F26" s="352"/>
      <c r="G26" s="353" t="s">
        <v>340</v>
      </c>
      <c r="H26" s="354"/>
    </row>
    <row r="27" spans="2:8" ht="17.399999999999999" x14ac:dyDescent="0.35">
      <c r="B27" s="36" t="s">
        <v>324</v>
      </c>
      <c r="C27" s="355" t="s">
        <v>437</v>
      </c>
      <c r="D27" s="356"/>
      <c r="E27" s="356"/>
      <c r="F27" s="357"/>
      <c r="G27" s="358" t="s">
        <v>358</v>
      </c>
      <c r="H27" s="358"/>
    </row>
    <row r="28" spans="2:8" ht="18" x14ac:dyDescent="0.35">
      <c r="B28" s="37" t="s">
        <v>325</v>
      </c>
      <c r="C28" s="347" t="s">
        <v>127</v>
      </c>
      <c r="D28" s="348"/>
      <c r="E28" s="348"/>
      <c r="F28" s="348"/>
      <c r="G28" s="349"/>
      <c r="H28" s="38" t="s">
        <v>308</v>
      </c>
    </row>
    <row r="29" spans="2:8" ht="15.6" x14ac:dyDescent="0.3">
      <c r="B29" s="35">
        <v>41</v>
      </c>
      <c r="C29" s="359" t="s">
        <v>415</v>
      </c>
      <c r="D29" s="360"/>
      <c r="E29" s="360"/>
      <c r="F29" s="360"/>
      <c r="G29" s="361"/>
      <c r="H29" s="34">
        <v>122</v>
      </c>
    </row>
    <row r="30" spans="2:8" ht="15.6" x14ac:dyDescent="0.3">
      <c r="B30" s="35">
        <v>57</v>
      </c>
      <c r="C30" s="359" t="s">
        <v>7</v>
      </c>
      <c r="D30" s="360"/>
      <c r="E30" s="360"/>
      <c r="F30" s="360"/>
      <c r="G30" s="361"/>
      <c r="H30" s="34">
        <v>128</v>
      </c>
    </row>
    <row r="31" spans="2:8" ht="15.6" x14ac:dyDescent="0.3">
      <c r="B31" s="35">
        <v>67</v>
      </c>
      <c r="C31" s="359" t="s">
        <v>106</v>
      </c>
      <c r="D31" s="360"/>
      <c r="E31" s="360"/>
      <c r="F31" s="360"/>
      <c r="G31" s="361"/>
      <c r="H31" s="34">
        <v>45</v>
      </c>
    </row>
    <row r="32" spans="2:8" ht="15.6" x14ac:dyDescent="0.3">
      <c r="B32" s="35">
        <v>73</v>
      </c>
      <c r="C32" s="359" t="s">
        <v>110</v>
      </c>
      <c r="D32" s="360"/>
      <c r="E32" s="360"/>
      <c r="F32" s="360"/>
      <c r="G32" s="361"/>
      <c r="H32" s="34">
        <v>36</v>
      </c>
    </row>
    <row r="33" spans="2:8" ht="15.6" x14ac:dyDescent="0.3">
      <c r="B33" s="48"/>
      <c r="C33" s="49"/>
      <c r="D33" s="49"/>
      <c r="E33" s="49"/>
      <c r="F33" s="49"/>
      <c r="G33" s="49"/>
      <c r="H33" s="8"/>
    </row>
    <row r="34" spans="2:8" ht="15.6" x14ac:dyDescent="0.3">
      <c r="B34" s="48"/>
      <c r="C34" s="49"/>
      <c r="D34" s="49"/>
      <c r="E34" s="49"/>
      <c r="F34" s="49"/>
      <c r="G34" s="49"/>
      <c r="H34" s="8"/>
    </row>
    <row r="35" spans="2:8" ht="17.399999999999999" x14ac:dyDescent="0.35">
      <c r="B35" s="36" t="s">
        <v>323</v>
      </c>
      <c r="C35" s="350" t="s">
        <v>331</v>
      </c>
      <c r="D35" s="351"/>
      <c r="E35" s="351"/>
      <c r="F35" s="352"/>
      <c r="G35" s="353" t="s">
        <v>340</v>
      </c>
      <c r="H35" s="354"/>
    </row>
    <row r="36" spans="2:8" ht="17.399999999999999" x14ac:dyDescent="0.35">
      <c r="B36" s="36" t="s">
        <v>324</v>
      </c>
      <c r="C36" s="44" t="s">
        <v>336</v>
      </c>
      <c r="D36" s="45"/>
      <c r="E36" s="45"/>
      <c r="F36" s="45"/>
      <c r="G36" s="358" t="s">
        <v>358</v>
      </c>
      <c r="H36" s="358"/>
    </row>
    <row r="37" spans="2:8" ht="18" x14ac:dyDescent="0.35">
      <c r="B37" s="37" t="s">
        <v>325</v>
      </c>
      <c r="C37" s="347" t="s">
        <v>127</v>
      </c>
      <c r="D37" s="348"/>
      <c r="E37" s="348"/>
      <c r="F37" s="348"/>
      <c r="G37" s="349"/>
      <c r="H37" s="38" t="s">
        <v>308</v>
      </c>
    </row>
    <row r="38" spans="2:8" ht="15.6" x14ac:dyDescent="0.3">
      <c r="B38" s="35">
        <v>175</v>
      </c>
      <c r="C38" s="359" t="s">
        <v>282</v>
      </c>
      <c r="D38" s="360"/>
      <c r="E38" s="360"/>
      <c r="F38" s="360"/>
      <c r="G38" s="361"/>
      <c r="H38" s="34">
        <v>98</v>
      </c>
    </row>
    <row r="39" spans="2:8" ht="15.6" x14ac:dyDescent="0.3">
      <c r="B39" s="35">
        <v>187</v>
      </c>
      <c r="C39" s="359" t="s">
        <v>295</v>
      </c>
      <c r="D39" s="360"/>
      <c r="E39" s="360"/>
      <c r="F39" s="360"/>
      <c r="G39" s="361"/>
      <c r="H39" s="34">
        <v>115</v>
      </c>
    </row>
    <row r="40" spans="2:8" ht="15.6" x14ac:dyDescent="0.3">
      <c r="B40" s="35"/>
      <c r="C40" s="359"/>
      <c r="D40" s="360"/>
      <c r="E40" s="360"/>
      <c r="F40" s="360"/>
      <c r="G40" s="361"/>
      <c r="H40" s="34"/>
    </row>
    <row r="41" spans="2:8" ht="15.6" x14ac:dyDescent="0.3">
      <c r="B41" s="35"/>
      <c r="C41" s="359"/>
      <c r="D41" s="360"/>
      <c r="E41" s="360"/>
      <c r="F41" s="360"/>
      <c r="G41" s="361"/>
      <c r="H41" s="34"/>
    </row>
    <row r="42" spans="2:8" ht="15.6" x14ac:dyDescent="0.3">
      <c r="B42" s="48"/>
      <c r="C42" s="49"/>
      <c r="D42" s="49"/>
      <c r="E42" s="49"/>
      <c r="F42" s="49"/>
      <c r="G42" s="49"/>
      <c r="H42" s="8"/>
    </row>
    <row r="43" spans="2:8" ht="17.399999999999999" x14ac:dyDescent="0.35">
      <c r="B43" s="36" t="s">
        <v>323</v>
      </c>
      <c r="C43" s="350" t="s">
        <v>329</v>
      </c>
      <c r="D43" s="351"/>
      <c r="E43" s="351"/>
      <c r="F43" s="352"/>
      <c r="G43" s="353" t="s">
        <v>340</v>
      </c>
      <c r="H43" s="354"/>
    </row>
    <row r="44" spans="2:8" ht="17.399999999999999" x14ac:dyDescent="0.35">
      <c r="B44" s="36" t="s">
        <v>324</v>
      </c>
      <c r="C44" s="44" t="s">
        <v>334</v>
      </c>
      <c r="D44" s="45"/>
      <c r="E44" s="45"/>
      <c r="F44" s="45"/>
      <c r="G44" s="358" t="s">
        <v>358</v>
      </c>
      <c r="H44" s="358"/>
    </row>
    <row r="45" spans="2:8" ht="18" x14ac:dyDescent="0.35">
      <c r="B45" s="37" t="s">
        <v>325</v>
      </c>
      <c r="C45" s="347" t="s">
        <v>127</v>
      </c>
      <c r="D45" s="348"/>
      <c r="E45" s="348"/>
      <c r="F45" s="348"/>
      <c r="G45" s="349"/>
      <c r="H45" s="38" t="s">
        <v>308</v>
      </c>
    </row>
    <row r="46" spans="2:8" ht="15.6" x14ac:dyDescent="0.3">
      <c r="B46" s="35">
        <v>2</v>
      </c>
      <c r="C46" s="359" t="s">
        <v>347</v>
      </c>
      <c r="D46" s="360"/>
      <c r="E46" s="360"/>
      <c r="F46" s="360"/>
      <c r="G46" s="361"/>
      <c r="H46" s="34"/>
    </row>
    <row r="47" spans="2:8" ht="15.6" x14ac:dyDescent="0.3">
      <c r="B47" s="35">
        <v>189</v>
      </c>
      <c r="C47" s="359" t="s">
        <v>297</v>
      </c>
      <c r="D47" s="360"/>
      <c r="E47" s="360"/>
      <c r="F47" s="360"/>
      <c r="G47" s="361"/>
      <c r="H47" s="34">
        <v>31</v>
      </c>
    </row>
    <row r="48" spans="2:8" ht="15.6" x14ac:dyDescent="0.3">
      <c r="B48" s="35"/>
      <c r="C48" s="359"/>
      <c r="D48" s="360"/>
      <c r="E48" s="360"/>
      <c r="F48" s="360"/>
      <c r="G48" s="361"/>
      <c r="H48" s="34"/>
    </row>
    <row r="50" spans="2:8" ht="15.6" x14ac:dyDescent="0.3">
      <c r="B50" s="48"/>
      <c r="C50" s="49"/>
      <c r="D50" s="49"/>
      <c r="E50" s="49"/>
      <c r="F50" s="49"/>
      <c r="G50" s="49"/>
      <c r="H50" s="8"/>
    </row>
    <row r="51" spans="2:8" ht="17.399999999999999" x14ac:dyDescent="0.35">
      <c r="B51" s="36" t="s">
        <v>323</v>
      </c>
      <c r="C51" s="350" t="s">
        <v>435</v>
      </c>
      <c r="D51" s="351"/>
      <c r="E51" s="351"/>
      <c r="F51" s="352"/>
      <c r="G51" s="353" t="s">
        <v>341</v>
      </c>
      <c r="H51" s="370"/>
    </row>
    <row r="52" spans="2:8" ht="17.399999999999999" x14ac:dyDescent="0.35">
      <c r="B52" s="36" t="s">
        <v>324</v>
      </c>
      <c r="C52" s="355" t="s">
        <v>381</v>
      </c>
      <c r="D52" s="356"/>
      <c r="E52" s="356"/>
      <c r="F52" s="357"/>
      <c r="G52" s="371" t="s">
        <v>358</v>
      </c>
      <c r="H52" s="372"/>
    </row>
    <row r="53" spans="2:8" ht="18" x14ac:dyDescent="0.35">
      <c r="B53" s="37" t="s">
        <v>325</v>
      </c>
      <c r="C53" s="347" t="s">
        <v>127</v>
      </c>
      <c r="D53" s="348"/>
      <c r="E53" s="348"/>
      <c r="F53" s="348"/>
      <c r="G53" s="349"/>
      <c r="H53" s="38" t="s">
        <v>308</v>
      </c>
    </row>
    <row r="54" spans="2:8" ht="15.6" x14ac:dyDescent="0.3">
      <c r="B54" s="35">
        <v>77</v>
      </c>
      <c r="C54" s="359" t="s">
        <v>438</v>
      </c>
      <c r="D54" s="360"/>
      <c r="E54" s="360"/>
      <c r="F54" s="360"/>
      <c r="G54" s="361"/>
      <c r="H54" s="34"/>
    </row>
    <row r="55" spans="2:8" ht="15.6" x14ac:dyDescent="0.3">
      <c r="B55" s="35">
        <v>86</v>
      </c>
      <c r="C55" s="359" t="s">
        <v>439</v>
      </c>
      <c r="D55" s="360"/>
      <c r="E55" s="360"/>
      <c r="F55" s="360"/>
      <c r="G55" s="361"/>
      <c r="H55" s="34">
        <v>47</v>
      </c>
    </row>
    <row r="56" spans="2:8" ht="15.6" x14ac:dyDescent="0.3">
      <c r="B56" s="35"/>
      <c r="C56" s="359"/>
      <c r="D56" s="360"/>
      <c r="E56" s="360"/>
      <c r="F56" s="360"/>
      <c r="G56" s="361"/>
      <c r="H56" s="34"/>
    </row>
    <row r="57" spans="2:8" ht="15.6" x14ac:dyDescent="0.3">
      <c r="B57" s="35"/>
      <c r="C57" s="359"/>
      <c r="D57" s="360"/>
      <c r="E57" s="360"/>
      <c r="F57" s="360"/>
      <c r="G57" s="361"/>
      <c r="H57" s="34"/>
    </row>
  </sheetData>
  <mergeCells count="58">
    <mergeCell ref="G51:H51"/>
    <mergeCell ref="C51:F51"/>
    <mergeCell ref="C7:F7"/>
    <mergeCell ref="G52:H52"/>
    <mergeCell ref="C52:F52"/>
    <mergeCell ref="C47:G47"/>
    <mergeCell ref="C48:G48"/>
    <mergeCell ref="C43:F43"/>
    <mergeCell ref="G43:H43"/>
    <mergeCell ref="G44:H44"/>
    <mergeCell ref="C45:G45"/>
    <mergeCell ref="C46:G46"/>
    <mergeCell ref="C41:G41"/>
    <mergeCell ref="C38:G38"/>
    <mergeCell ref="C39:G39"/>
    <mergeCell ref="C40:G40"/>
    <mergeCell ref="C53:G53"/>
    <mergeCell ref="C54:G54"/>
    <mergeCell ref="C55:G55"/>
    <mergeCell ref="C56:G56"/>
    <mergeCell ref="C57:G57"/>
    <mergeCell ref="C26:F26"/>
    <mergeCell ref="G26:H26"/>
    <mergeCell ref="C35:F35"/>
    <mergeCell ref="C6:F6"/>
    <mergeCell ref="G6:H6"/>
    <mergeCell ref="G7:H7"/>
    <mergeCell ref="C8:G8"/>
    <mergeCell ref="C9:G9"/>
    <mergeCell ref="C14:G14"/>
    <mergeCell ref="C15:G15"/>
    <mergeCell ref="C16:G16"/>
    <mergeCell ref="C17:G17"/>
    <mergeCell ref="G20:H20"/>
    <mergeCell ref="C12:F12"/>
    <mergeCell ref="G12:H12"/>
    <mergeCell ref="G13:H13"/>
    <mergeCell ref="B2:H2"/>
    <mergeCell ref="B3:H3"/>
    <mergeCell ref="B4:E4"/>
    <mergeCell ref="F4:H4"/>
    <mergeCell ref="C10:G10"/>
    <mergeCell ref="C37:G37"/>
    <mergeCell ref="C19:F19"/>
    <mergeCell ref="G19:H19"/>
    <mergeCell ref="C27:F27"/>
    <mergeCell ref="G27:H27"/>
    <mergeCell ref="C28:G28"/>
    <mergeCell ref="C29:G29"/>
    <mergeCell ref="C30:G30"/>
    <mergeCell ref="C31:G31"/>
    <mergeCell ref="C32:G32"/>
    <mergeCell ref="G36:H36"/>
    <mergeCell ref="C21:G21"/>
    <mergeCell ref="C22:G22"/>
    <mergeCell ref="G35:H35"/>
    <mergeCell ref="C23:G23"/>
    <mergeCell ref="C24:G24"/>
  </mergeCells>
  <phoneticPr fontId="2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445BC-ED85-4D60-A94B-BB481FE6680E}">
  <dimension ref="B1:H75"/>
  <sheetViews>
    <sheetView zoomScale="80" zoomScaleNormal="80" zoomScaleSheetLayoutView="100" workbookViewId="0">
      <selection activeCell="K57" sqref="K57"/>
    </sheetView>
  </sheetViews>
  <sheetFormatPr baseColWidth="10" defaultColWidth="10.88671875" defaultRowHeight="14.4" x14ac:dyDescent="0.3"/>
  <cols>
    <col min="1" max="1" width="5.5546875" customWidth="1"/>
    <col min="2" max="2" width="10.88671875" customWidth="1"/>
    <col min="9" max="9" width="10.88671875" customWidth="1"/>
    <col min="10" max="10" width="5.5546875" customWidth="1"/>
  </cols>
  <sheetData>
    <row r="1" spans="2:8" ht="25.8" x14ac:dyDescent="0.5">
      <c r="B1" s="362" t="s">
        <v>322</v>
      </c>
      <c r="C1" s="362"/>
      <c r="D1" s="362"/>
      <c r="E1" s="362"/>
      <c r="F1" s="362"/>
      <c r="G1" s="362"/>
      <c r="H1" s="362"/>
    </row>
    <row r="2" spans="2:8" ht="15.6" x14ac:dyDescent="0.3">
      <c r="B2" s="363" t="s">
        <v>376</v>
      </c>
      <c r="C2" s="364"/>
      <c r="D2" s="364"/>
      <c r="E2" s="364"/>
      <c r="F2" s="364"/>
      <c r="G2" s="364"/>
      <c r="H2" s="365"/>
    </row>
    <row r="3" spans="2:8" ht="15.6" x14ac:dyDescent="0.3">
      <c r="B3" s="366" t="s">
        <v>375</v>
      </c>
      <c r="C3" s="367"/>
      <c r="D3" s="367"/>
      <c r="E3" s="367"/>
      <c r="F3" s="368" t="s">
        <v>377</v>
      </c>
      <c r="G3" s="368"/>
      <c r="H3" s="369"/>
    </row>
    <row r="5" spans="2:8" ht="17.399999999999999" x14ac:dyDescent="0.35">
      <c r="B5" s="36" t="s">
        <v>323</v>
      </c>
      <c r="C5" s="350" t="s">
        <v>328</v>
      </c>
      <c r="D5" s="351"/>
      <c r="E5" s="351"/>
      <c r="F5" s="351"/>
      <c r="G5" s="373" t="s">
        <v>340</v>
      </c>
      <c r="H5" s="373"/>
    </row>
    <row r="6" spans="2:8" ht="17.399999999999999" x14ac:dyDescent="0.35">
      <c r="B6" s="36" t="s">
        <v>324</v>
      </c>
      <c r="C6" s="44" t="s">
        <v>333</v>
      </c>
      <c r="D6" s="45"/>
      <c r="E6" s="45"/>
      <c r="F6" s="45"/>
      <c r="G6" s="371" t="s">
        <v>358</v>
      </c>
      <c r="H6" s="372"/>
    </row>
    <row r="7" spans="2:8" ht="18" x14ac:dyDescent="0.35">
      <c r="B7" s="37" t="s">
        <v>325</v>
      </c>
      <c r="C7" s="347" t="s">
        <v>127</v>
      </c>
      <c r="D7" s="348"/>
      <c r="E7" s="348"/>
      <c r="F7" s="348"/>
      <c r="G7" s="349"/>
      <c r="H7" s="38" t="s">
        <v>308</v>
      </c>
    </row>
    <row r="8" spans="2:8" ht="15.6" x14ac:dyDescent="0.3">
      <c r="B8" s="35">
        <v>6</v>
      </c>
      <c r="C8" s="359" t="s">
        <v>345</v>
      </c>
      <c r="D8" s="360"/>
      <c r="E8" s="360"/>
      <c r="F8" s="360"/>
      <c r="G8" s="361"/>
      <c r="H8" s="34"/>
    </row>
    <row r="9" spans="2:8" ht="15.6" x14ac:dyDescent="0.3">
      <c r="B9" s="35">
        <v>18</v>
      </c>
      <c r="C9" s="359" t="s">
        <v>160</v>
      </c>
      <c r="D9" s="360"/>
      <c r="E9" s="360"/>
      <c r="F9" s="360"/>
      <c r="G9" s="361"/>
      <c r="H9" s="34">
        <v>8</v>
      </c>
    </row>
    <row r="10" spans="2:8" ht="15.6" x14ac:dyDescent="0.3">
      <c r="B10" s="35">
        <v>183</v>
      </c>
      <c r="C10" s="359" t="s">
        <v>346</v>
      </c>
      <c r="D10" s="360"/>
      <c r="E10" s="360"/>
      <c r="F10" s="360"/>
      <c r="G10" s="361"/>
      <c r="H10" s="34">
        <v>126</v>
      </c>
    </row>
    <row r="11" spans="2:8" ht="15.6" x14ac:dyDescent="0.3">
      <c r="B11" s="35"/>
      <c r="C11" s="359"/>
      <c r="D11" s="360"/>
      <c r="E11" s="360"/>
      <c r="F11" s="360"/>
      <c r="G11" s="361"/>
      <c r="H11" s="34"/>
    </row>
    <row r="12" spans="2:8" ht="15.6" x14ac:dyDescent="0.3">
      <c r="B12" s="48"/>
      <c r="C12" s="49"/>
      <c r="D12" s="49"/>
      <c r="E12" s="49"/>
      <c r="F12" s="49"/>
      <c r="G12" s="49"/>
      <c r="H12" s="8"/>
    </row>
    <row r="13" spans="2:8" ht="17.399999999999999" x14ac:dyDescent="0.35">
      <c r="B13" s="36" t="s">
        <v>323</v>
      </c>
      <c r="C13" s="350" t="s">
        <v>326</v>
      </c>
      <c r="D13" s="351"/>
      <c r="E13" s="351"/>
      <c r="F13" s="351"/>
      <c r="G13" s="353" t="s">
        <v>340</v>
      </c>
      <c r="H13" s="354"/>
    </row>
    <row r="14" spans="2:8" ht="17.399999999999999" x14ac:dyDescent="0.35">
      <c r="B14" s="36" t="s">
        <v>324</v>
      </c>
      <c r="C14" s="44" t="s">
        <v>327</v>
      </c>
      <c r="D14" s="45"/>
      <c r="E14" s="45"/>
      <c r="F14" s="45"/>
      <c r="G14" s="358" t="s">
        <v>358</v>
      </c>
      <c r="H14" s="358"/>
    </row>
    <row r="15" spans="2:8" ht="18" x14ac:dyDescent="0.35">
      <c r="B15" s="37" t="s">
        <v>325</v>
      </c>
      <c r="C15" s="347" t="s">
        <v>127</v>
      </c>
      <c r="D15" s="348"/>
      <c r="E15" s="348"/>
      <c r="F15" s="348"/>
      <c r="G15" s="349"/>
      <c r="H15" s="38" t="s">
        <v>308</v>
      </c>
    </row>
    <row r="16" spans="2:8" ht="15.6" x14ac:dyDescent="0.3">
      <c r="B16" s="35">
        <v>4</v>
      </c>
      <c r="C16" s="359" t="s">
        <v>138</v>
      </c>
      <c r="D16" s="360"/>
      <c r="E16" s="360"/>
      <c r="F16" s="360"/>
      <c r="G16" s="361"/>
      <c r="H16" s="41">
        <v>5</v>
      </c>
    </row>
    <row r="17" spans="2:8" ht="15.6" x14ac:dyDescent="0.3">
      <c r="B17" s="35">
        <v>96</v>
      </c>
      <c r="C17" s="359" t="s">
        <v>120</v>
      </c>
      <c r="D17" s="360"/>
      <c r="E17" s="360"/>
      <c r="F17" s="360"/>
      <c r="G17" s="361"/>
      <c r="H17" s="41">
        <v>32</v>
      </c>
    </row>
    <row r="18" spans="2:8" ht="15.6" x14ac:dyDescent="0.3">
      <c r="B18" s="35">
        <v>71</v>
      </c>
      <c r="C18" s="359" t="s">
        <v>108</v>
      </c>
      <c r="D18" s="360"/>
      <c r="E18" s="360"/>
      <c r="F18" s="360"/>
      <c r="G18" s="361"/>
      <c r="H18" s="34">
        <v>126</v>
      </c>
    </row>
    <row r="19" spans="2:8" ht="15.6" x14ac:dyDescent="0.3">
      <c r="B19" s="48"/>
      <c r="C19" s="49"/>
      <c r="D19" s="49"/>
      <c r="E19" s="49"/>
      <c r="F19" s="49"/>
      <c r="G19" s="49"/>
      <c r="H19" s="8"/>
    </row>
    <row r="20" spans="2:8" ht="17.399999999999999" x14ac:dyDescent="0.35">
      <c r="B20" s="39" t="s">
        <v>323</v>
      </c>
      <c r="C20" s="350" t="s">
        <v>330</v>
      </c>
      <c r="D20" s="351"/>
      <c r="E20" s="351"/>
      <c r="F20" s="352"/>
      <c r="G20" s="353" t="s">
        <v>340</v>
      </c>
      <c r="H20" s="354"/>
    </row>
    <row r="21" spans="2:8" ht="17.399999999999999" x14ac:dyDescent="0.35">
      <c r="B21" s="36" t="s">
        <v>324</v>
      </c>
      <c r="C21" s="47" t="s">
        <v>335</v>
      </c>
      <c r="D21" s="46"/>
      <c r="E21" s="46"/>
      <c r="F21" s="46"/>
      <c r="G21" s="358" t="s">
        <v>358</v>
      </c>
      <c r="H21" s="358"/>
    </row>
    <row r="22" spans="2:8" ht="18" x14ac:dyDescent="0.35">
      <c r="B22" s="37" t="s">
        <v>325</v>
      </c>
      <c r="C22" s="347" t="s">
        <v>127</v>
      </c>
      <c r="D22" s="348"/>
      <c r="E22" s="348"/>
      <c r="F22" s="348"/>
      <c r="G22" s="349"/>
      <c r="H22" s="38" t="s">
        <v>308</v>
      </c>
    </row>
    <row r="23" spans="2:8" ht="15.6" x14ac:dyDescent="0.3">
      <c r="B23" s="35">
        <v>105</v>
      </c>
      <c r="C23" s="359" t="s">
        <v>348</v>
      </c>
      <c r="D23" s="360"/>
      <c r="E23" s="360"/>
      <c r="F23" s="360"/>
      <c r="G23" s="361"/>
      <c r="H23" s="34"/>
    </row>
    <row r="24" spans="2:8" ht="15.6" x14ac:dyDescent="0.3">
      <c r="B24" s="35">
        <v>45</v>
      </c>
      <c r="C24" s="359" t="s">
        <v>349</v>
      </c>
      <c r="D24" s="360"/>
      <c r="E24" s="360"/>
      <c r="F24" s="360"/>
      <c r="G24" s="361"/>
      <c r="H24" s="34"/>
    </row>
    <row r="25" spans="2:8" ht="15.6" x14ac:dyDescent="0.3">
      <c r="B25" s="35"/>
      <c r="C25" s="359"/>
      <c r="D25" s="360"/>
      <c r="E25" s="360"/>
      <c r="F25" s="360"/>
      <c r="G25" s="361"/>
      <c r="H25" s="34"/>
    </row>
    <row r="27" spans="2:8" ht="17.399999999999999" x14ac:dyDescent="0.35">
      <c r="B27" s="36" t="s">
        <v>323</v>
      </c>
      <c r="C27" s="350" t="s">
        <v>436</v>
      </c>
      <c r="D27" s="351"/>
      <c r="E27" s="351"/>
      <c r="F27" s="352"/>
      <c r="G27" s="353" t="s">
        <v>340</v>
      </c>
      <c r="H27" s="354"/>
    </row>
    <row r="28" spans="2:8" ht="17.399999999999999" x14ac:dyDescent="0.35">
      <c r="B28" s="36" t="s">
        <v>324</v>
      </c>
      <c r="C28" s="355" t="s">
        <v>437</v>
      </c>
      <c r="D28" s="356"/>
      <c r="E28" s="356"/>
      <c r="F28" s="357"/>
      <c r="G28" s="358" t="s">
        <v>358</v>
      </c>
      <c r="H28" s="358"/>
    </row>
    <row r="29" spans="2:8" ht="18" x14ac:dyDescent="0.35">
      <c r="B29" s="37" t="s">
        <v>325</v>
      </c>
      <c r="C29" s="347" t="s">
        <v>127</v>
      </c>
      <c r="D29" s="348"/>
      <c r="E29" s="348"/>
      <c r="F29" s="348"/>
      <c r="G29" s="349"/>
      <c r="H29" s="38" t="s">
        <v>308</v>
      </c>
    </row>
    <row r="30" spans="2:8" ht="15.6" x14ac:dyDescent="0.3">
      <c r="B30" s="35">
        <v>41</v>
      </c>
      <c r="C30" s="359" t="s">
        <v>415</v>
      </c>
      <c r="D30" s="360"/>
      <c r="E30" s="360"/>
      <c r="F30" s="360"/>
      <c r="G30" s="361"/>
      <c r="H30" s="34">
        <v>122</v>
      </c>
    </row>
    <row r="31" spans="2:8" ht="15.6" x14ac:dyDescent="0.3">
      <c r="B31" s="35">
        <v>57</v>
      </c>
      <c r="C31" s="359" t="s">
        <v>7</v>
      </c>
      <c r="D31" s="360"/>
      <c r="E31" s="360"/>
      <c r="F31" s="360"/>
      <c r="G31" s="361"/>
      <c r="H31" s="34">
        <v>128</v>
      </c>
    </row>
    <row r="32" spans="2:8" ht="15.6" x14ac:dyDescent="0.3">
      <c r="B32" s="35">
        <v>67</v>
      </c>
      <c r="C32" s="359" t="s">
        <v>106</v>
      </c>
      <c r="D32" s="360"/>
      <c r="E32" s="360"/>
      <c r="F32" s="360"/>
      <c r="G32" s="361"/>
      <c r="H32" s="34">
        <v>45</v>
      </c>
    </row>
    <row r="33" spans="2:8" ht="15.6" x14ac:dyDescent="0.3">
      <c r="B33" s="35">
        <v>73</v>
      </c>
      <c r="C33" s="359" t="s">
        <v>110</v>
      </c>
      <c r="D33" s="360"/>
      <c r="E33" s="360"/>
      <c r="F33" s="360"/>
      <c r="G33" s="361"/>
      <c r="H33" s="34">
        <v>36</v>
      </c>
    </row>
    <row r="34" spans="2:8" ht="15.6" x14ac:dyDescent="0.3">
      <c r="B34" s="48"/>
      <c r="C34" s="49"/>
      <c r="D34" s="49"/>
      <c r="E34" s="49"/>
      <c r="F34" s="49"/>
      <c r="G34" s="49"/>
      <c r="H34" s="8"/>
    </row>
    <row r="35" spans="2:8" ht="17.399999999999999" x14ac:dyDescent="0.35">
      <c r="B35" s="39" t="s">
        <v>323</v>
      </c>
      <c r="C35" s="350" t="s">
        <v>321</v>
      </c>
      <c r="D35" s="351"/>
      <c r="E35" s="351"/>
      <c r="F35" s="352"/>
      <c r="G35" s="353" t="s">
        <v>340</v>
      </c>
      <c r="H35" s="354"/>
    </row>
    <row r="36" spans="2:8" ht="17.399999999999999" x14ac:dyDescent="0.35">
      <c r="B36" s="39" t="s">
        <v>324</v>
      </c>
      <c r="C36" s="44" t="s">
        <v>332</v>
      </c>
      <c r="D36" s="45"/>
      <c r="E36" s="45"/>
      <c r="F36" s="45"/>
      <c r="G36" s="371" t="s">
        <v>358</v>
      </c>
      <c r="H36" s="372"/>
    </row>
    <row r="37" spans="2:8" ht="18" x14ac:dyDescent="0.35">
      <c r="B37" s="37" t="s">
        <v>325</v>
      </c>
      <c r="C37" s="374" t="s">
        <v>127</v>
      </c>
      <c r="D37" s="375"/>
      <c r="E37" s="375"/>
      <c r="F37" s="375"/>
      <c r="G37" s="376"/>
      <c r="H37" s="40" t="s">
        <v>308</v>
      </c>
    </row>
    <row r="38" spans="2:8" ht="15.6" customHeight="1" x14ac:dyDescent="0.3">
      <c r="B38" s="35">
        <v>50</v>
      </c>
      <c r="C38" s="359" t="s">
        <v>342</v>
      </c>
      <c r="D38" s="360"/>
      <c r="E38" s="360"/>
      <c r="F38" s="360"/>
      <c r="G38" s="361"/>
      <c r="H38" s="34"/>
    </row>
    <row r="39" spans="2:8" ht="15.6" customHeight="1" x14ac:dyDescent="0.3">
      <c r="B39" s="35">
        <v>177</v>
      </c>
      <c r="C39" s="359" t="s">
        <v>343</v>
      </c>
      <c r="D39" s="360"/>
      <c r="E39" s="360"/>
      <c r="F39" s="360"/>
      <c r="G39" s="361"/>
      <c r="H39" s="34"/>
    </row>
    <row r="40" spans="2:8" ht="15.6" customHeight="1" x14ac:dyDescent="0.3">
      <c r="B40" s="35">
        <v>5</v>
      </c>
      <c r="C40" s="359" t="s">
        <v>141</v>
      </c>
      <c r="D40" s="360"/>
      <c r="E40" s="360"/>
      <c r="F40" s="360"/>
      <c r="G40" s="361"/>
      <c r="H40" s="34"/>
    </row>
    <row r="41" spans="2:8" ht="15.6" customHeight="1" x14ac:dyDescent="0.3">
      <c r="B41" s="42">
        <v>126</v>
      </c>
      <c r="C41" s="377" t="s">
        <v>344</v>
      </c>
      <c r="D41" s="378"/>
      <c r="E41" s="378"/>
      <c r="F41" s="378"/>
      <c r="G41" s="379"/>
      <c r="H41" s="32"/>
    </row>
    <row r="42" spans="2:8" ht="15.6" customHeight="1" x14ac:dyDescent="0.3">
      <c r="B42" s="43">
        <v>190</v>
      </c>
      <c r="C42" s="359" t="s">
        <v>298</v>
      </c>
      <c r="D42" s="360"/>
      <c r="E42" s="360"/>
      <c r="F42" s="360"/>
      <c r="G42" s="361"/>
      <c r="H42" s="34">
        <v>136</v>
      </c>
    </row>
    <row r="43" spans="2:8" ht="15.6" x14ac:dyDescent="0.3">
      <c r="B43" s="48"/>
      <c r="C43" s="49"/>
      <c r="D43" s="49"/>
      <c r="E43" s="49"/>
      <c r="F43" s="49"/>
      <c r="G43" s="49"/>
      <c r="H43" s="8"/>
    </row>
    <row r="44" spans="2:8" ht="17.399999999999999" x14ac:dyDescent="0.35">
      <c r="B44" s="36" t="s">
        <v>323</v>
      </c>
      <c r="C44" s="350" t="s">
        <v>331</v>
      </c>
      <c r="D44" s="351"/>
      <c r="E44" s="351"/>
      <c r="F44" s="352"/>
      <c r="G44" s="353" t="s">
        <v>340</v>
      </c>
      <c r="H44" s="354"/>
    </row>
    <row r="45" spans="2:8" ht="17.399999999999999" x14ac:dyDescent="0.35">
      <c r="B45" s="36" t="s">
        <v>324</v>
      </c>
      <c r="C45" s="44" t="s">
        <v>336</v>
      </c>
      <c r="D45" s="45"/>
      <c r="E45" s="45"/>
      <c r="F45" s="45"/>
      <c r="G45" s="358" t="s">
        <v>358</v>
      </c>
      <c r="H45" s="358"/>
    </row>
    <row r="46" spans="2:8" ht="18" x14ac:dyDescent="0.35">
      <c r="B46" s="37" t="s">
        <v>325</v>
      </c>
      <c r="C46" s="347" t="s">
        <v>127</v>
      </c>
      <c r="D46" s="348"/>
      <c r="E46" s="348"/>
      <c r="F46" s="348"/>
      <c r="G46" s="349"/>
      <c r="H46" s="38" t="s">
        <v>308</v>
      </c>
    </row>
    <row r="47" spans="2:8" ht="15.6" customHeight="1" x14ac:dyDescent="0.3">
      <c r="B47" s="35">
        <v>175</v>
      </c>
      <c r="C47" s="359" t="s">
        <v>282</v>
      </c>
      <c r="D47" s="360"/>
      <c r="E47" s="360"/>
      <c r="F47" s="360"/>
      <c r="G47" s="361"/>
      <c r="H47" s="34">
        <v>98</v>
      </c>
    </row>
    <row r="48" spans="2:8" ht="15.6" customHeight="1" x14ac:dyDescent="0.3">
      <c r="B48" s="35">
        <v>187</v>
      </c>
      <c r="C48" s="359" t="s">
        <v>295</v>
      </c>
      <c r="D48" s="360"/>
      <c r="E48" s="360"/>
      <c r="F48" s="360"/>
      <c r="G48" s="361"/>
      <c r="H48" s="34">
        <v>115</v>
      </c>
    </row>
    <row r="49" spans="2:8" ht="15.6" customHeight="1" x14ac:dyDescent="0.3">
      <c r="B49" s="35"/>
      <c r="C49" s="359"/>
      <c r="D49" s="360"/>
      <c r="E49" s="360"/>
      <c r="F49" s="360"/>
      <c r="G49" s="361"/>
      <c r="H49" s="34"/>
    </row>
    <row r="50" spans="2:8" ht="15.6" x14ac:dyDescent="0.3">
      <c r="B50" s="35"/>
      <c r="C50" s="359"/>
      <c r="D50" s="360"/>
      <c r="E50" s="360"/>
      <c r="F50" s="360"/>
      <c r="G50" s="361"/>
      <c r="H50" s="34"/>
    </row>
    <row r="51" spans="2:8" ht="15.6" x14ac:dyDescent="0.3">
      <c r="B51" s="48"/>
      <c r="C51" s="49"/>
      <c r="D51" s="49"/>
      <c r="E51" s="49"/>
      <c r="F51" s="49"/>
      <c r="G51" s="49"/>
      <c r="H51" s="8"/>
    </row>
    <row r="52" spans="2:8" ht="17.399999999999999" x14ac:dyDescent="0.35">
      <c r="B52" s="36" t="s">
        <v>323</v>
      </c>
      <c r="C52" s="350" t="s">
        <v>329</v>
      </c>
      <c r="D52" s="351"/>
      <c r="E52" s="351"/>
      <c r="F52" s="352"/>
      <c r="G52" s="353" t="s">
        <v>340</v>
      </c>
      <c r="H52" s="354"/>
    </row>
    <row r="53" spans="2:8" ht="17.399999999999999" x14ac:dyDescent="0.35">
      <c r="B53" s="36" t="s">
        <v>324</v>
      </c>
      <c r="C53" s="44" t="s">
        <v>334</v>
      </c>
      <c r="D53" s="45"/>
      <c r="E53" s="45"/>
      <c r="F53" s="45"/>
      <c r="G53" s="358" t="s">
        <v>358</v>
      </c>
      <c r="H53" s="358"/>
    </row>
    <row r="54" spans="2:8" ht="18" x14ac:dyDescent="0.35">
      <c r="B54" s="37" t="s">
        <v>325</v>
      </c>
      <c r="C54" s="347" t="s">
        <v>127</v>
      </c>
      <c r="D54" s="348"/>
      <c r="E54" s="348"/>
      <c r="F54" s="348"/>
      <c r="G54" s="349"/>
      <c r="H54" s="38" t="s">
        <v>308</v>
      </c>
    </row>
    <row r="55" spans="2:8" ht="15.6" x14ac:dyDescent="0.3">
      <c r="B55" s="35">
        <v>2</v>
      </c>
      <c r="C55" s="359" t="s">
        <v>347</v>
      </c>
      <c r="D55" s="360"/>
      <c r="E55" s="360"/>
      <c r="F55" s="360"/>
      <c r="G55" s="361"/>
      <c r="H55" s="34"/>
    </row>
    <row r="56" spans="2:8" ht="15.6" x14ac:dyDescent="0.3">
      <c r="B56" s="35">
        <v>189</v>
      </c>
      <c r="C56" s="359" t="s">
        <v>297</v>
      </c>
      <c r="D56" s="360"/>
      <c r="E56" s="360"/>
      <c r="F56" s="360"/>
      <c r="G56" s="361"/>
      <c r="H56" s="34">
        <v>31</v>
      </c>
    </row>
    <row r="57" spans="2:8" ht="15.6" x14ac:dyDescent="0.3">
      <c r="B57" s="35"/>
      <c r="C57" s="359"/>
      <c r="D57" s="360"/>
      <c r="E57" s="360"/>
      <c r="F57" s="360"/>
      <c r="G57" s="361"/>
      <c r="H57" s="34"/>
    </row>
    <row r="59" spans="2:8" ht="15.6" x14ac:dyDescent="0.3">
      <c r="B59" s="48"/>
      <c r="C59" s="49"/>
      <c r="D59" s="49"/>
      <c r="E59" s="49"/>
      <c r="F59" s="49"/>
      <c r="G59" s="49"/>
      <c r="H59" s="8"/>
    </row>
    <row r="60" spans="2:8" ht="17.399999999999999" x14ac:dyDescent="0.35">
      <c r="B60" s="36" t="s">
        <v>323</v>
      </c>
      <c r="C60" s="350" t="s">
        <v>435</v>
      </c>
      <c r="D60" s="351"/>
      <c r="E60" s="351"/>
      <c r="F60" s="352"/>
      <c r="G60" s="353" t="s">
        <v>341</v>
      </c>
      <c r="H60" s="354"/>
    </row>
    <row r="61" spans="2:8" ht="17.399999999999999" x14ac:dyDescent="0.35">
      <c r="B61" s="36" t="s">
        <v>324</v>
      </c>
      <c r="C61" s="355" t="s">
        <v>381</v>
      </c>
      <c r="D61" s="356"/>
      <c r="E61" s="356"/>
      <c r="F61" s="357"/>
      <c r="G61" s="358" t="s">
        <v>358</v>
      </c>
      <c r="H61" s="358"/>
    </row>
    <row r="62" spans="2:8" ht="18" x14ac:dyDescent="0.35">
      <c r="B62" s="37" t="s">
        <v>325</v>
      </c>
      <c r="C62" s="347" t="s">
        <v>127</v>
      </c>
      <c r="D62" s="348"/>
      <c r="E62" s="348"/>
      <c r="F62" s="348"/>
      <c r="G62" s="349"/>
      <c r="H62" s="38" t="s">
        <v>308</v>
      </c>
    </row>
    <row r="63" spans="2:8" ht="15.6" x14ac:dyDescent="0.3">
      <c r="B63" s="35">
        <v>77</v>
      </c>
      <c r="C63" s="359" t="s">
        <v>438</v>
      </c>
      <c r="D63" s="360"/>
      <c r="E63" s="360"/>
      <c r="F63" s="360"/>
      <c r="G63" s="361"/>
      <c r="H63" s="34"/>
    </row>
    <row r="64" spans="2:8" ht="15.6" x14ac:dyDescent="0.3">
      <c r="B64" s="35">
        <v>86</v>
      </c>
      <c r="C64" s="359" t="s">
        <v>439</v>
      </c>
      <c r="D64" s="360"/>
      <c r="E64" s="360"/>
      <c r="F64" s="360"/>
      <c r="G64" s="361"/>
      <c r="H64" s="34">
        <v>47</v>
      </c>
    </row>
    <row r="65" spans="2:8" ht="15.6" x14ac:dyDescent="0.3">
      <c r="B65" s="35"/>
      <c r="C65" s="359"/>
      <c r="D65" s="360"/>
      <c r="E65" s="360"/>
      <c r="F65" s="360"/>
      <c r="G65" s="361"/>
      <c r="H65" s="34"/>
    </row>
    <row r="66" spans="2:8" ht="15.6" x14ac:dyDescent="0.3">
      <c r="B66" s="35"/>
      <c r="C66" s="359"/>
      <c r="D66" s="360"/>
      <c r="E66" s="360"/>
      <c r="F66" s="360"/>
      <c r="G66" s="361"/>
      <c r="H66" s="34"/>
    </row>
    <row r="69" spans="2:8" ht="17.399999999999999" x14ac:dyDescent="0.35">
      <c r="B69" s="36" t="s">
        <v>323</v>
      </c>
      <c r="C69" s="350" t="s">
        <v>440</v>
      </c>
      <c r="D69" s="351"/>
      <c r="E69" s="351"/>
      <c r="F69" s="352"/>
      <c r="G69" s="353" t="s">
        <v>340</v>
      </c>
      <c r="H69" s="354"/>
    </row>
    <row r="70" spans="2:8" ht="17.399999999999999" x14ac:dyDescent="0.35">
      <c r="B70" s="36" t="s">
        <v>324</v>
      </c>
      <c r="C70" s="355" t="s">
        <v>441</v>
      </c>
      <c r="D70" s="356"/>
      <c r="E70" s="356"/>
      <c r="F70" s="357"/>
      <c r="G70" s="358" t="s">
        <v>358</v>
      </c>
      <c r="H70" s="358"/>
    </row>
    <row r="71" spans="2:8" ht="18" x14ac:dyDescent="0.35">
      <c r="B71" s="37" t="s">
        <v>325</v>
      </c>
      <c r="C71" s="347" t="s">
        <v>127</v>
      </c>
      <c r="D71" s="348"/>
      <c r="E71" s="348"/>
      <c r="F71" s="348"/>
      <c r="G71" s="349"/>
      <c r="H71" s="38" t="s">
        <v>308</v>
      </c>
    </row>
    <row r="72" spans="2:8" ht="15.6" x14ac:dyDescent="0.3">
      <c r="B72" s="35">
        <v>52</v>
      </c>
      <c r="C72" s="359" t="s">
        <v>442</v>
      </c>
      <c r="D72" s="360"/>
      <c r="E72" s="360"/>
      <c r="F72" s="360"/>
      <c r="G72" s="361"/>
      <c r="H72" s="34">
        <v>2</v>
      </c>
    </row>
    <row r="73" spans="2:8" ht="15.6" x14ac:dyDescent="0.3">
      <c r="B73" s="35"/>
      <c r="C73" s="359" t="s">
        <v>443</v>
      </c>
      <c r="D73" s="360"/>
      <c r="E73" s="360"/>
      <c r="F73" s="360"/>
      <c r="G73" s="361"/>
      <c r="H73" s="34"/>
    </row>
    <row r="74" spans="2:8" ht="15.6" x14ac:dyDescent="0.3">
      <c r="B74" s="35"/>
      <c r="C74" s="359"/>
      <c r="D74" s="360"/>
      <c r="E74" s="360"/>
      <c r="F74" s="360"/>
      <c r="G74" s="361"/>
      <c r="H74" s="34"/>
    </row>
    <row r="75" spans="2:8" ht="15.6" x14ac:dyDescent="0.3">
      <c r="B75" s="35"/>
      <c r="C75" s="359"/>
      <c r="D75" s="360"/>
      <c r="E75" s="360"/>
      <c r="F75" s="360"/>
      <c r="G75" s="361"/>
      <c r="H75" s="34"/>
    </row>
  </sheetData>
  <mergeCells count="77">
    <mergeCell ref="C64:G64"/>
    <mergeCell ref="C65:G65"/>
    <mergeCell ref="C66:G66"/>
    <mergeCell ref="C61:F61"/>
    <mergeCell ref="C60:F60"/>
    <mergeCell ref="G60:H60"/>
    <mergeCell ref="G61:H61"/>
    <mergeCell ref="C62:G62"/>
    <mergeCell ref="C63:G63"/>
    <mergeCell ref="B2:H2"/>
    <mergeCell ref="B3:E3"/>
    <mergeCell ref="F3:H3"/>
    <mergeCell ref="C39:G39"/>
    <mergeCell ref="C40:G40"/>
    <mergeCell ref="G27:H27"/>
    <mergeCell ref="G28:H28"/>
    <mergeCell ref="C29:G29"/>
    <mergeCell ref="C31:G31"/>
    <mergeCell ref="C32:G32"/>
    <mergeCell ref="C8:G8"/>
    <mergeCell ref="C9:G9"/>
    <mergeCell ref="G13:H13"/>
    <mergeCell ref="G14:H14"/>
    <mergeCell ref="C15:G15"/>
    <mergeCell ref="C16:G16"/>
    <mergeCell ref="C56:G56"/>
    <mergeCell ref="C57:G57"/>
    <mergeCell ref="C30:G30"/>
    <mergeCell ref="C37:G37"/>
    <mergeCell ref="C20:F20"/>
    <mergeCell ref="G20:H20"/>
    <mergeCell ref="C48:G48"/>
    <mergeCell ref="C49:G49"/>
    <mergeCell ref="C50:G50"/>
    <mergeCell ref="C41:G41"/>
    <mergeCell ref="C42:G42"/>
    <mergeCell ref="C55:G55"/>
    <mergeCell ref="C33:G33"/>
    <mergeCell ref="G44:H44"/>
    <mergeCell ref="C44:F44"/>
    <mergeCell ref="C46:G46"/>
    <mergeCell ref="C54:G54"/>
    <mergeCell ref="C52:F52"/>
    <mergeCell ref="G52:H52"/>
    <mergeCell ref="G53:H53"/>
    <mergeCell ref="C23:G23"/>
    <mergeCell ref="G45:H45"/>
    <mergeCell ref="C18:G18"/>
    <mergeCell ref="C13:F13"/>
    <mergeCell ref="C47:G47"/>
    <mergeCell ref="G21:H21"/>
    <mergeCell ref="C22:G22"/>
    <mergeCell ref="B1:H1"/>
    <mergeCell ref="C35:F35"/>
    <mergeCell ref="G35:H35"/>
    <mergeCell ref="G36:H36"/>
    <mergeCell ref="C38:G38"/>
    <mergeCell ref="C5:F5"/>
    <mergeCell ref="G5:H5"/>
    <mergeCell ref="C24:G24"/>
    <mergeCell ref="C25:G25"/>
    <mergeCell ref="C10:G10"/>
    <mergeCell ref="C11:G11"/>
    <mergeCell ref="G6:H6"/>
    <mergeCell ref="C7:G7"/>
    <mergeCell ref="C17:G17"/>
    <mergeCell ref="C27:F27"/>
    <mergeCell ref="C28:F28"/>
    <mergeCell ref="C72:G72"/>
    <mergeCell ref="C73:G73"/>
    <mergeCell ref="C74:G74"/>
    <mergeCell ref="C75:G75"/>
    <mergeCell ref="C69:F69"/>
    <mergeCell ref="G69:H69"/>
    <mergeCell ref="C70:F70"/>
    <mergeCell ref="G70:H70"/>
    <mergeCell ref="C71:G71"/>
  </mergeCells>
  <pageMargins left="0.25" right="0.25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533D2-73B7-44DF-A849-CB7EDC08FA18}">
  <dimension ref="B2:L62"/>
  <sheetViews>
    <sheetView zoomScale="90" zoomScaleNormal="90" workbookViewId="0">
      <selection activeCell="I20" sqref="I20"/>
    </sheetView>
  </sheetViews>
  <sheetFormatPr baseColWidth="10" defaultColWidth="8.77734375" defaultRowHeight="14.4" x14ac:dyDescent="0.3"/>
  <cols>
    <col min="5" max="5" width="17.21875" customWidth="1"/>
    <col min="10" max="10" width="13.21875" customWidth="1"/>
  </cols>
  <sheetData>
    <row r="2" spans="2:12" ht="28.8" x14ac:dyDescent="0.55000000000000004">
      <c r="B2" s="89" t="s">
        <v>382</v>
      </c>
      <c r="C2" s="90"/>
      <c r="D2" s="90"/>
      <c r="E2" s="90"/>
      <c r="J2" s="108" t="s">
        <v>388</v>
      </c>
      <c r="K2" s="108"/>
      <c r="L2" s="7"/>
    </row>
    <row r="3" spans="2:12" x14ac:dyDescent="0.3">
      <c r="J3" s="107" t="s">
        <v>362</v>
      </c>
      <c r="K3" s="107"/>
      <c r="L3" s="7" t="s">
        <v>390</v>
      </c>
    </row>
    <row r="4" spans="2:12" ht="23.4" x14ac:dyDescent="0.45">
      <c r="B4" s="91">
        <v>2023</v>
      </c>
      <c r="C4" s="91"/>
      <c r="D4" s="91"/>
      <c r="E4" s="91"/>
      <c r="J4" s="107" t="s">
        <v>363</v>
      </c>
      <c r="K4" s="107"/>
      <c r="L4" s="7" t="s">
        <v>390</v>
      </c>
    </row>
    <row r="5" spans="2:12" ht="18" x14ac:dyDescent="0.35">
      <c r="B5" s="92" t="s">
        <v>383</v>
      </c>
      <c r="C5" s="93"/>
      <c r="D5" s="92" t="s">
        <v>357</v>
      </c>
      <c r="E5" s="93"/>
      <c r="J5" s="107" t="s">
        <v>364</v>
      </c>
      <c r="K5" s="107"/>
      <c r="L5" s="7" t="s">
        <v>390</v>
      </c>
    </row>
    <row r="6" spans="2:12" ht="15.6" x14ac:dyDescent="0.3">
      <c r="B6" s="94" t="s">
        <v>310</v>
      </c>
      <c r="C6" s="95"/>
      <c r="D6" s="94" t="s">
        <v>387</v>
      </c>
      <c r="E6" s="95"/>
      <c r="J6" s="107" t="s">
        <v>436</v>
      </c>
      <c r="K6" s="107"/>
      <c r="L6" s="7" t="s">
        <v>390</v>
      </c>
    </row>
    <row r="7" spans="2:12" ht="15.6" x14ac:dyDescent="0.3">
      <c r="B7" s="96" t="s">
        <v>311</v>
      </c>
      <c r="C7" s="97"/>
      <c r="D7" s="98" t="s">
        <v>387</v>
      </c>
      <c r="E7" s="99"/>
      <c r="J7" s="107" t="s">
        <v>366</v>
      </c>
      <c r="K7" s="107"/>
      <c r="L7" s="7" t="s">
        <v>390</v>
      </c>
    </row>
    <row r="8" spans="2:12" ht="15.6" x14ac:dyDescent="0.3">
      <c r="B8" s="94" t="s">
        <v>338</v>
      </c>
      <c r="C8" s="95"/>
      <c r="D8" s="94" t="s">
        <v>384</v>
      </c>
      <c r="E8" s="95"/>
      <c r="J8" s="107" t="s">
        <v>395</v>
      </c>
      <c r="K8" s="107"/>
      <c r="L8" s="7" t="s">
        <v>390</v>
      </c>
    </row>
    <row r="9" spans="2:12" ht="15.6" x14ac:dyDescent="0.3">
      <c r="B9" s="96" t="s">
        <v>350</v>
      </c>
      <c r="C9" s="97"/>
      <c r="D9" s="96" t="s">
        <v>351</v>
      </c>
      <c r="E9" s="97"/>
      <c r="J9" s="107" t="s">
        <v>365</v>
      </c>
      <c r="K9" s="107"/>
      <c r="L9" s="7" t="s">
        <v>390</v>
      </c>
    </row>
    <row r="10" spans="2:12" ht="15.6" x14ac:dyDescent="0.3">
      <c r="B10" s="94" t="s">
        <v>352</v>
      </c>
      <c r="C10" s="95"/>
      <c r="D10" s="94" t="s">
        <v>361</v>
      </c>
      <c r="E10" s="95"/>
      <c r="J10" s="107" t="s">
        <v>454</v>
      </c>
      <c r="K10" s="107"/>
      <c r="L10" s="7" t="s">
        <v>455</v>
      </c>
    </row>
    <row r="11" spans="2:12" ht="15.6" x14ac:dyDescent="0.3">
      <c r="B11" s="96" t="s">
        <v>353</v>
      </c>
      <c r="C11" s="97"/>
      <c r="D11" s="96" t="s">
        <v>373</v>
      </c>
      <c r="E11" s="97"/>
      <c r="J11" s="107" t="s">
        <v>440</v>
      </c>
      <c r="K11" s="107"/>
      <c r="L11" s="7" t="s">
        <v>390</v>
      </c>
    </row>
    <row r="12" spans="2:12" ht="15.6" x14ac:dyDescent="0.3">
      <c r="B12" s="94" t="s">
        <v>367</v>
      </c>
      <c r="C12" s="95"/>
      <c r="D12" s="94" t="s">
        <v>385</v>
      </c>
      <c r="E12" s="95"/>
      <c r="J12" s="107" t="s">
        <v>389</v>
      </c>
      <c r="K12" s="107"/>
      <c r="L12" s="7" t="s">
        <v>455</v>
      </c>
    </row>
    <row r="13" spans="2:12" ht="15.6" x14ac:dyDescent="0.3">
      <c r="B13" s="96" t="s">
        <v>368</v>
      </c>
      <c r="C13" s="97"/>
      <c r="D13" s="98" t="s">
        <v>385</v>
      </c>
      <c r="E13" s="99"/>
      <c r="J13" s="107"/>
      <c r="K13" s="107"/>
      <c r="L13" s="7"/>
    </row>
    <row r="14" spans="2:12" ht="15.6" x14ac:dyDescent="0.3">
      <c r="B14" s="94" t="s">
        <v>369</v>
      </c>
      <c r="C14" s="95"/>
      <c r="D14" s="94" t="s">
        <v>380</v>
      </c>
      <c r="E14" s="95"/>
      <c r="J14" s="107"/>
      <c r="K14" s="107"/>
      <c r="L14" s="7"/>
    </row>
    <row r="15" spans="2:12" ht="15.6" x14ac:dyDescent="0.3">
      <c r="B15" s="96" t="s">
        <v>370</v>
      </c>
      <c r="C15" s="97"/>
      <c r="D15" s="96" t="s">
        <v>379</v>
      </c>
      <c r="E15" s="97"/>
      <c r="J15" s="116"/>
      <c r="K15" s="116"/>
    </row>
    <row r="16" spans="2:12" ht="15.6" x14ac:dyDescent="0.3">
      <c r="B16" s="94" t="s">
        <v>371</v>
      </c>
      <c r="C16" s="95"/>
      <c r="D16" s="94" t="s">
        <v>379</v>
      </c>
      <c r="E16" s="95"/>
      <c r="J16" t="s">
        <v>489</v>
      </c>
    </row>
    <row r="17" spans="2:10" ht="15.6" x14ac:dyDescent="0.3">
      <c r="B17" s="96" t="s">
        <v>372</v>
      </c>
      <c r="C17" s="97"/>
      <c r="D17" s="96" t="s">
        <v>386</v>
      </c>
      <c r="E17" s="97"/>
      <c r="J17" t="s">
        <v>490</v>
      </c>
    </row>
    <row r="18" spans="2:10" ht="15.6" x14ac:dyDescent="0.3">
      <c r="B18" s="48"/>
      <c r="C18" s="48"/>
      <c r="D18" s="48"/>
      <c r="E18" s="48"/>
      <c r="J18" t="s">
        <v>491</v>
      </c>
    </row>
    <row r="19" spans="2:10" ht="23.4" x14ac:dyDescent="0.45">
      <c r="B19" s="100">
        <v>2024</v>
      </c>
      <c r="C19" s="101"/>
      <c r="D19" s="101"/>
      <c r="E19" s="102"/>
      <c r="J19" t="s">
        <v>492</v>
      </c>
    </row>
    <row r="20" spans="2:10" ht="18" x14ac:dyDescent="0.35">
      <c r="B20" s="92" t="s">
        <v>383</v>
      </c>
      <c r="C20" s="93"/>
      <c r="D20" s="92" t="s">
        <v>357</v>
      </c>
      <c r="E20" s="93"/>
      <c r="J20" t="s">
        <v>493</v>
      </c>
    </row>
    <row r="21" spans="2:10" ht="15.6" x14ac:dyDescent="0.3">
      <c r="B21" s="94" t="s">
        <v>310</v>
      </c>
      <c r="C21" s="95"/>
      <c r="D21" s="94" t="s">
        <v>391</v>
      </c>
      <c r="E21" s="95"/>
      <c r="J21" t="s">
        <v>494</v>
      </c>
    </row>
    <row r="22" spans="2:10" ht="15.6" x14ac:dyDescent="0.3">
      <c r="B22" s="96" t="s">
        <v>311</v>
      </c>
      <c r="C22" s="97"/>
      <c r="D22" s="98" t="s">
        <v>392</v>
      </c>
      <c r="E22" s="99"/>
    </row>
    <row r="23" spans="2:10" ht="15.6" x14ac:dyDescent="0.3">
      <c r="B23" s="94" t="s">
        <v>338</v>
      </c>
      <c r="C23" s="95"/>
      <c r="D23" s="94" t="s">
        <v>394</v>
      </c>
      <c r="E23" s="95"/>
    </row>
    <row r="24" spans="2:10" ht="15.6" x14ac:dyDescent="0.3">
      <c r="B24" s="96" t="s">
        <v>350</v>
      </c>
      <c r="C24" s="97"/>
      <c r="D24" s="98" t="s">
        <v>396</v>
      </c>
      <c r="E24" s="99"/>
    </row>
    <row r="25" spans="2:10" ht="15.6" x14ac:dyDescent="0.3">
      <c r="B25" s="94" t="s">
        <v>352</v>
      </c>
      <c r="C25" s="95"/>
      <c r="D25" s="94" t="s">
        <v>398</v>
      </c>
      <c r="E25" s="95"/>
    </row>
    <row r="26" spans="2:10" ht="15.6" x14ac:dyDescent="0.3">
      <c r="B26" s="96" t="s">
        <v>353</v>
      </c>
      <c r="C26" s="97"/>
      <c r="D26" s="98" t="s">
        <v>398</v>
      </c>
      <c r="E26" s="99"/>
    </row>
    <row r="27" spans="2:10" ht="15.6" x14ac:dyDescent="0.3">
      <c r="B27" s="94" t="s">
        <v>367</v>
      </c>
      <c r="C27" s="95"/>
      <c r="D27" s="94" t="s">
        <v>457</v>
      </c>
      <c r="E27" s="95"/>
    </row>
    <row r="28" spans="2:10" ht="15.6" x14ac:dyDescent="0.3">
      <c r="B28" s="96" t="s">
        <v>368</v>
      </c>
      <c r="C28" s="97"/>
      <c r="D28" s="98" t="s">
        <v>418</v>
      </c>
      <c r="E28" s="99"/>
    </row>
    <row r="29" spans="2:10" ht="15.6" x14ac:dyDescent="0.3">
      <c r="B29" s="94" t="s">
        <v>369</v>
      </c>
      <c r="C29" s="95"/>
      <c r="D29" s="94" t="s">
        <v>419</v>
      </c>
      <c r="E29" s="95"/>
    </row>
    <row r="30" spans="2:10" ht="15.6" x14ac:dyDescent="0.3">
      <c r="B30" s="96" t="s">
        <v>370</v>
      </c>
      <c r="C30" s="97"/>
      <c r="D30" s="98"/>
      <c r="E30" s="99"/>
    </row>
    <row r="31" spans="2:10" ht="15.6" x14ac:dyDescent="0.3">
      <c r="B31" s="94" t="s">
        <v>371</v>
      </c>
      <c r="C31" s="95"/>
      <c r="D31" s="94"/>
      <c r="E31" s="95"/>
    </row>
    <row r="32" spans="2:10" ht="15.6" x14ac:dyDescent="0.3">
      <c r="B32" s="96" t="s">
        <v>372</v>
      </c>
      <c r="C32" s="97"/>
      <c r="D32" s="98"/>
      <c r="E32" s="99"/>
    </row>
    <row r="34" spans="2:6" ht="21" x14ac:dyDescent="0.4">
      <c r="B34" s="113">
        <v>2025</v>
      </c>
      <c r="C34" s="114"/>
      <c r="D34" s="114"/>
      <c r="E34" s="115"/>
    </row>
    <row r="35" spans="2:6" ht="15.6" x14ac:dyDescent="0.3">
      <c r="B35" s="103" t="s">
        <v>383</v>
      </c>
      <c r="C35" s="104"/>
      <c r="D35" s="103" t="s">
        <v>357</v>
      </c>
      <c r="E35" s="104"/>
    </row>
    <row r="36" spans="2:6" x14ac:dyDescent="0.3">
      <c r="B36" s="105" t="s">
        <v>310</v>
      </c>
      <c r="C36" s="106"/>
      <c r="D36" s="105" t="s">
        <v>431</v>
      </c>
      <c r="E36" s="106"/>
    </row>
    <row r="37" spans="2:6" x14ac:dyDescent="0.3">
      <c r="B37" s="109" t="s">
        <v>311</v>
      </c>
      <c r="C37" s="110"/>
      <c r="D37" s="111" t="s">
        <v>373</v>
      </c>
      <c r="E37" s="112"/>
      <c r="F37" t="s">
        <v>444</v>
      </c>
    </row>
    <row r="38" spans="2:6" x14ac:dyDescent="0.3">
      <c r="B38" s="105" t="s">
        <v>338</v>
      </c>
      <c r="C38" s="106"/>
      <c r="D38" s="105" t="s">
        <v>432</v>
      </c>
      <c r="E38" s="106"/>
    </row>
    <row r="39" spans="2:6" x14ac:dyDescent="0.3">
      <c r="B39" s="109" t="s">
        <v>350</v>
      </c>
      <c r="C39" s="110"/>
      <c r="D39" s="111" t="s">
        <v>433</v>
      </c>
      <c r="E39" s="112"/>
      <c r="F39" t="s">
        <v>444</v>
      </c>
    </row>
    <row r="40" spans="2:6" x14ac:dyDescent="0.3">
      <c r="B40" s="105" t="s">
        <v>352</v>
      </c>
      <c r="C40" s="106"/>
      <c r="D40" s="105" t="s">
        <v>397</v>
      </c>
      <c r="E40" s="106"/>
    </row>
    <row r="41" spans="2:6" x14ac:dyDescent="0.3">
      <c r="B41" s="109" t="s">
        <v>353</v>
      </c>
      <c r="C41" s="110"/>
      <c r="D41" s="111" t="s">
        <v>458</v>
      </c>
      <c r="E41" s="112"/>
      <c r="F41" t="s">
        <v>444</v>
      </c>
    </row>
    <row r="42" spans="2:6" x14ac:dyDescent="0.3">
      <c r="B42" s="105" t="s">
        <v>367</v>
      </c>
      <c r="C42" s="106"/>
      <c r="D42" s="105" t="s">
        <v>459</v>
      </c>
      <c r="E42" s="106"/>
    </row>
    <row r="43" spans="2:6" x14ac:dyDescent="0.3">
      <c r="B43" s="109" t="s">
        <v>368</v>
      </c>
      <c r="C43" s="110"/>
      <c r="D43" s="111" t="s">
        <v>380</v>
      </c>
      <c r="E43" s="112"/>
      <c r="F43" t="s">
        <v>444</v>
      </c>
    </row>
    <row r="44" spans="2:6" x14ac:dyDescent="0.3">
      <c r="B44" s="105" t="s">
        <v>369</v>
      </c>
      <c r="C44" s="106"/>
      <c r="D44" s="105" t="s">
        <v>434</v>
      </c>
      <c r="E44" s="106"/>
    </row>
    <row r="45" spans="2:6" x14ac:dyDescent="0.3">
      <c r="B45" s="109" t="s">
        <v>370</v>
      </c>
      <c r="C45" s="110"/>
      <c r="D45" s="111" t="s">
        <v>456</v>
      </c>
      <c r="E45" s="112"/>
      <c r="F45" t="s">
        <v>444</v>
      </c>
    </row>
    <row r="46" spans="2:6" x14ac:dyDescent="0.3">
      <c r="B46" s="105" t="s">
        <v>371</v>
      </c>
      <c r="C46" s="106"/>
      <c r="D46" s="105" t="s">
        <v>456</v>
      </c>
      <c r="E46" s="106"/>
    </row>
    <row r="47" spans="2:6" x14ac:dyDescent="0.3">
      <c r="B47" s="109" t="s">
        <v>372</v>
      </c>
      <c r="C47" s="110"/>
      <c r="D47" s="111"/>
      <c r="E47" s="112"/>
    </row>
    <row r="49" spans="2:5" ht="21" x14ac:dyDescent="0.4">
      <c r="B49" s="113">
        <v>2026</v>
      </c>
      <c r="C49" s="114"/>
      <c r="D49" s="114"/>
      <c r="E49" s="115"/>
    </row>
    <row r="50" spans="2:5" ht="15.6" x14ac:dyDescent="0.3">
      <c r="B50" s="103" t="s">
        <v>383</v>
      </c>
      <c r="C50" s="104"/>
      <c r="D50" s="103" t="s">
        <v>357</v>
      </c>
      <c r="E50" s="104"/>
    </row>
    <row r="51" spans="2:5" x14ac:dyDescent="0.3">
      <c r="B51" s="105" t="s">
        <v>310</v>
      </c>
      <c r="C51" s="106"/>
      <c r="D51" s="105" t="s">
        <v>387</v>
      </c>
      <c r="E51" s="106"/>
    </row>
    <row r="52" spans="2:5" x14ac:dyDescent="0.3">
      <c r="B52" s="109" t="s">
        <v>311</v>
      </c>
      <c r="C52" s="110"/>
      <c r="D52" s="111" t="s">
        <v>387</v>
      </c>
      <c r="E52" s="112"/>
    </row>
    <row r="53" spans="2:5" x14ac:dyDescent="0.3">
      <c r="B53" s="105" t="s">
        <v>338</v>
      </c>
      <c r="C53" s="106"/>
      <c r="D53" s="105" t="s">
        <v>387</v>
      </c>
      <c r="E53" s="106"/>
    </row>
    <row r="54" spans="2:5" x14ac:dyDescent="0.3">
      <c r="B54" s="109" t="s">
        <v>350</v>
      </c>
      <c r="C54" s="110"/>
      <c r="D54" s="111"/>
      <c r="E54" s="112"/>
    </row>
    <row r="55" spans="2:5" x14ac:dyDescent="0.3">
      <c r="B55" s="105" t="s">
        <v>352</v>
      </c>
      <c r="C55" s="106"/>
      <c r="D55" s="105"/>
      <c r="E55" s="106"/>
    </row>
    <row r="56" spans="2:5" x14ac:dyDescent="0.3">
      <c r="B56" s="109" t="s">
        <v>353</v>
      </c>
      <c r="C56" s="110"/>
      <c r="D56" s="111"/>
      <c r="E56" s="112"/>
    </row>
    <row r="57" spans="2:5" x14ac:dyDescent="0.3">
      <c r="B57" s="105" t="s">
        <v>367</v>
      </c>
      <c r="C57" s="106"/>
      <c r="D57" s="105"/>
      <c r="E57" s="106"/>
    </row>
    <row r="58" spans="2:5" x14ac:dyDescent="0.3">
      <c r="B58" s="109" t="s">
        <v>368</v>
      </c>
      <c r="C58" s="110"/>
      <c r="D58" s="111"/>
      <c r="E58" s="112"/>
    </row>
    <row r="59" spans="2:5" x14ac:dyDescent="0.3">
      <c r="B59" s="105" t="s">
        <v>369</v>
      </c>
      <c r="C59" s="106"/>
      <c r="D59" s="105"/>
      <c r="E59" s="106"/>
    </row>
    <row r="60" spans="2:5" x14ac:dyDescent="0.3">
      <c r="B60" s="109" t="s">
        <v>370</v>
      </c>
      <c r="C60" s="110"/>
      <c r="D60" s="111"/>
      <c r="E60" s="112"/>
    </row>
    <row r="61" spans="2:5" x14ac:dyDescent="0.3">
      <c r="B61" s="105" t="s">
        <v>371</v>
      </c>
      <c r="C61" s="106"/>
      <c r="D61" s="105"/>
      <c r="E61" s="106"/>
    </row>
    <row r="62" spans="2:5" x14ac:dyDescent="0.3">
      <c r="B62" s="109" t="s">
        <v>372</v>
      </c>
      <c r="C62" s="110"/>
      <c r="D62" s="111"/>
      <c r="E62" s="112"/>
    </row>
  </sheetData>
  <mergeCells count="123">
    <mergeCell ref="B61:C61"/>
    <mergeCell ref="D61:E61"/>
    <mergeCell ref="B62:C62"/>
    <mergeCell ref="D62:E62"/>
    <mergeCell ref="B58:C58"/>
    <mergeCell ref="D58:E58"/>
    <mergeCell ref="B59:C59"/>
    <mergeCell ref="D59:E59"/>
    <mergeCell ref="B60:C60"/>
    <mergeCell ref="D60:E60"/>
    <mergeCell ref="B55:C55"/>
    <mergeCell ref="D55:E55"/>
    <mergeCell ref="B56:C56"/>
    <mergeCell ref="D56:E56"/>
    <mergeCell ref="B57:C57"/>
    <mergeCell ref="D57:E57"/>
    <mergeCell ref="B52:C52"/>
    <mergeCell ref="D52:E52"/>
    <mergeCell ref="B53:C53"/>
    <mergeCell ref="D53:E53"/>
    <mergeCell ref="B54:C54"/>
    <mergeCell ref="D54:E54"/>
    <mergeCell ref="B49:E49"/>
    <mergeCell ref="B50:C50"/>
    <mergeCell ref="D50:E50"/>
    <mergeCell ref="B51:C51"/>
    <mergeCell ref="D51:E51"/>
    <mergeCell ref="J10:K10"/>
    <mergeCell ref="J15:K15"/>
    <mergeCell ref="J14:K14"/>
    <mergeCell ref="J13:K13"/>
    <mergeCell ref="J12:K12"/>
    <mergeCell ref="J11:K11"/>
    <mergeCell ref="B39:C39"/>
    <mergeCell ref="D39:E39"/>
    <mergeCell ref="B40:C40"/>
    <mergeCell ref="D40:E40"/>
    <mergeCell ref="B37:C37"/>
    <mergeCell ref="D37:E37"/>
    <mergeCell ref="B30:C30"/>
    <mergeCell ref="D30:E30"/>
    <mergeCell ref="B31:C31"/>
    <mergeCell ref="D31:E31"/>
    <mergeCell ref="B32:C32"/>
    <mergeCell ref="D32:E32"/>
    <mergeCell ref="B34:E34"/>
    <mergeCell ref="J4:K4"/>
    <mergeCell ref="J3:K3"/>
    <mergeCell ref="J2:K2"/>
    <mergeCell ref="B47:C47"/>
    <mergeCell ref="D47:E47"/>
    <mergeCell ref="J9:K9"/>
    <mergeCell ref="J8:K8"/>
    <mergeCell ref="J7:K7"/>
    <mergeCell ref="J6:K6"/>
    <mergeCell ref="J5:K5"/>
    <mergeCell ref="B44:C44"/>
    <mergeCell ref="D44:E44"/>
    <mergeCell ref="B45:C45"/>
    <mergeCell ref="D45:E45"/>
    <mergeCell ref="B46:C46"/>
    <mergeCell ref="D46:E46"/>
    <mergeCell ref="B41:C41"/>
    <mergeCell ref="D41:E41"/>
    <mergeCell ref="B42:C42"/>
    <mergeCell ref="D42:E42"/>
    <mergeCell ref="B43:C43"/>
    <mergeCell ref="D43:E43"/>
    <mergeCell ref="B38:C38"/>
    <mergeCell ref="D38:E38"/>
    <mergeCell ref="B35:C35"/>
    <mergeCell ref="D35:E35"/>
    <mergeCell ref="B36:C36"/>
    <mergeCell ref="D36:E36"/>
    <mergeCell ref="B27:C27"/>
    <mergeCell ref="D27:E27"/>
    <mergeCell ref="B28:C28"/>
    <mergeCell ref="D28:E28"/>
    <mergeCell ref="B29:C29"/>
    <mergeCell ref="D29:E29"/>
    <mergeCell ref="B24:C24"/>
    <mergeCell ref="D24:E24"/>
    <mergeCell ref="B25:C25"/>
    <mergeCell ref="D25:E25"/>
    <mergeCell ref="B26:C26"/>
    <mergeCell ref="D26:E26"/>
    <mergeCell ref="B21:C21"/>
    <mergeCell ref="D21:E21"/>
    <mergeCell ref="B22:C22"/>
    <mergeCell ref="D22:E22"/>
    <mergeCell ref="B23:C23"/>
    <mergeCell ref="D23:E23"/>
    <mergeCell ref="B12:C12"/>
    <mergeCell ref="D12:E12"/>
    <mergeCell ref="B7:C7"/>
    <mergeCell ref="D7:E7"/>
    <mergeCell ref="B8:C8"/>
    <mergeCell ref="D8:E8"/>
    <mergeCell ref="B9:C9"/>
    <mergeCell ref="D9:E9"/>
    <mergeCell ref="B20:C20"/>
    <mergeCell ref="D20:E20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9:E19"/>
    <mergeCell ref="B2:E2"/>
    <mergeCell ref="B4:E4"/>
    <mergeCell ref="B5:C5"/>
    <mergeCell ref="D5:E5"/>
    <mergeCell ref="B6:C6"/>
    <mergeCell ref="D6:E6"/>
    <mergeCell ref="B10:C10"/>
    <mergeCell ref="D10:E10"/>
    <mergeCell ref="B11:C11"/>
    <mergeCell ref="D11:E1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018C2-A377-475D-B1CF-A54CF044D0C8}">
  <dimension ref="A1:E195"/>
  <sheetViews>
    <sheetView topLeftCell="A162" workbookViewId="0">
      <selection activeCell="E117" sqref="E117:F118"/>
    </sheetView>
  </sheetViews>
  <sheetFormatPr baseColWidth="10" defaultColWidth="10.88671875" defaultRowHeight="14.4" x14ac:dyDescent="0.3"/>
  <cols>
    <col min="1" max="1" width="6.5546875" customWidth="1"/>
    <col min="2" max="2" width="70.88671875" customWidth="1"/>
    <col min="3" max="3" width="32.21875" customWidth="1"/>
    <col min="4" max="4" width="13" customWidth="1"/>
  </cols>
  <sheetData>
    <row r="1" spans="1:5" x14ac:dyDescent="0.3">
      <c r="A1" s="6" t="s">
        <v>126</v>
      </c>
      <c r="B1" s="6" t="s">
        <v>93</v>
      </c>
      <c r="C1" s="6" t="s">
        <v>127</v>
      </c>
      <c r="D1" s="6" t="s">
        <v>128</v>
      </c>
      <c r="E1" s="10" t="s">
        <v>129</v>
      </c>
    </row>
    <row r="2" spans="1:5" x14ac:dyDescent="0.3">
      <c r="A2" s="7">
        <v>1</v>
      </c>
      <c r="B2" s="7" t="s">
        <v>130</v>
      </c>
      <c r="C2" s="7" t="s">
        <v>131</v>
      </c>
      <c r="D2" s="11" t="s">
        <v>132</v>
      </c>
      <c r="E2" s="7"/>
    </row>
    <row r="3" spans="1:5" x14ac:dyDescent="0.3">
      <c r="A3" s="7">
        <v>2</v>
      </c>
      <c r="B3" s="7" t="s">
        <v>133</v>
      </c>
      <c r="C3" s="7" t="s">
        <v>134</v>
      </c>
      <c r="D3" s="11" t="s">
        <v>135</v>
      </c>
      <c r="E3" s="7"/>
    </row>
    <row r="4" spans="1:5" x14ac:dyDescent="0.3">
      <c r="A4" s="7">
        <v>3</v>
      </c>
      <c r="B4" s="7" t="s">
        <v>136</v>
      </c>
      <c r="C4" s="7" t="s">
        <v>137</v>
      </c>
      <c r="D4" s="11">
        <v>101</v>
      </c>
      <c r="E4" s="7"/>
    </row>
    <row r="5" spans="1:5" x14ac:dyDescent="0.3">
      <c r="A5" s="7">
        <v>4</v>
      </c>
      <c r="B5" s="7" t="s">
        <v>138</v>
      </c>
      <c r="C5" s="7" t="s">
        <v>139</v>
      </c>
      <c r="D5" s="11" t="s">
        <v>140</v>
      </c>
      <c r="E5" s="7"/>
    </row>
    <row r="6" spans="1:5" x14ac:dyDescent="0.3">
      <c r="A6" s="7">
        <v>5</v>
      </c>
      <c r="B6" s="7" t="s">
        <v>141</v>
      </c>
      <c r="C6" s="7" t="s">
        <v>142</v>
      </c>
      <c r="D6" s="11" t="s">
        <v>143</v>
      </c>
      <c r="E6" s="7"/>
    </row>
    <row r="7" spans="1:5" x14ac:dyDescent="0.3">
      <c r="A7" s="7">
        <v>6</v>
      </c>
      <c r="B7" s="7" t="s">
        <v>144</v>
      </c>
      <c r="C7" s="7" t="s">
        <v>134</v>
      </c>
      <c r="D7" s="11">
        <v>150</v>
      </c>
      <c r="E7" s="7"/>
    </row>
    <row r="8" spans="1:5" x14ac:dyDescent="0.3">
      <c r="A8" s="7">
        <v>7</v>
      </c>
      <c r="B8" s="7" t="s">
        <v>145</v>
      </c>
      <c r="C8" s="7" t="s">
        <v>146</v>
      </c>
      <c r="D8" s="11">
        <v>125</v>
      </c>
      <c r="E8" s="7"/>
    </row>
    <row r="9" spans="1:5" x14ac:dyDescent="0.3">
      <c r="A9" s="7">
        <v>8</v>
      </c>
      <c r="B9" s="7" t="s">
        <v>147</v>
      </c>
      <c r="C9" s="7" t="s">
        <v>137</v>
      </c>
      <c r="D9" s="11">
        <v>21</v>
      </c>
      <c r="E9" s="7"/>
    </row>
    <row r="10" spans="1:5" x14ac:dyDescent="0.3">
      <c r="A10" s="7">
        <v>9</v>
      </c>
      <c r="B10" s="7" t="s">
        <v>148</v>
      </c>
      <c r="C10" s="7" t="s">
        <v>131</v>
      </c>
      <c r="D10" s="11">
        <v>127</v>
      </c>
      <c r="E10" s="7"/>
    </row>
    <row r="11" spans="1:5" x14ac:dyDescent="0.3">
      <c r="A11" s="7">
        <v>10</v>
      </c>
      <c r="B11" s="7" t="s">
        <v>149</v>
      </c>
      <c r="C11" s="7" t="s">
        <v>146</v>
      </c>
      <c r="D11" s="11">
        <v>121</v>
      </c>
      <c r="E11" s="7"/>
    </row>
    <row r="12" spans="1:5" x14ac:dyDescent="0.3">
      <c r="A12" s="7">
        <v>11</v>
      </c>
      <c r="B12" s="7" t="s">
        <v>150</v>
      </c>
      <c r="C12" s="7" t="s">
        <v>151</v>
      </c>
      <c r="D12" s="11">
        <v>13</v>
      </c>
      <c r="E12" s="7"/>
    </row>
    <row r="13" spans="1:5" x14ac:dyDescent="0.3">
      <c r="A13" s="7">
        <v>12</v>
      </c>
      <c r="B13" s="9" t="s">
        <v>152</v>
      </c>
      <c r="C13" s="7" t="s">
        <v>146</v>
      </c>
      <c r="D13" s="11">
        <v>123</v>
      </c>
      <c r="E13" s="7"/>
    </row>
    <row r="14" spans="1:5" x14ac:dyDescent="0.3">
      <c r="A14" s="7">
        <v>13</v>
      </c>
      <c r="B14" s="7" t="s">
        <v>153</v>
      </c>
      <c r="C14" s="7" t="s">
        <v>142</v>
      </c>
      <c r="D14" s="11">
        <v>131</v>
      </c>
      <c r="E14" s="7"/>
    </row>
    <row r="15" spans="1:5" x14ac:dyDescent="0.3">
      <c r="A15" s="7">
        <v>14</v>
      </c>
      <c r="B15" s="7" t="s">
        <v>154</v>
      </c>
      <c r="C15" s="7" t="s">
        <v>146</v>
      </c>
      <c r="D15" s="11" t="s">
        <v>155</v>
      </c>
      <c r="E15" s="7"/>
    </row>
    <row r="16" spans="1:5" x14ac:dyDescent="0.3">
      <c r="A16" s="7">
        <v>15</v>
      </c>
      <c r="B16" s="7" t="s">
        <v>156</v>
      </c>
      <c r="C16" s="7" t="s">
        <v>146</v>
      </c>
      <c r="D16" s="11">
        <v>106</v>
      </c>
      <c r="E16" s="7"/>
    </row>
    <row r="17" spans="1:5" x14ac:dyDescent="0.3">
      <c r="A17" s="7">
        <v>16</v>
      </c>
      <c r="B17" s="7" t="s">
        <v>157</v>
      </c>
      <c r="C17" s="7" t="s">
        <v>131</v>
      </c>
      <c r="D17" s="11">
        <v>31</v>
      </c>
      <c r="E17" s="7"/>
    </row>
    <row r="18" spans="1:5" x14ac:dyDescent="0.3">
      <c r="A18" s="7">
        <v>17</v>
      </c>
      <c r="B18" s="7" t="s">
        <v>158</v>
      </c>
      <c r="C18" s="7" t="s">
        <v>159</v>
      </c>
      <c r="D18" s="11">
        <v>35</v>
      </c>
      <c r="E18" s="7"/>
    </row>
    <row r="19" spans="1:5" x14ac:dyDescent="0.3">
      <c r="A19" s="7">
        <v>18</v>
      </c>
      <c r="B19" s="7" t="s">
        <v>160</v>
      </c>
      <c r="C19" s="7" t="s">
        <v>131</v>
      </c>
      <c r="D19" s="11">
        <v>148</v>
      </c>
      <c r="E19" s="7"/>
    </row>
    <row r="20" spans="1:5" x14ac:dyDescent="0.3">
      <c r="A20" s="7">
        <v>19</v>
      </c>
      <c r="B20" s="7" t="s">
        <v>161</v>
      </c>
      <c r="C20" s="7" t="s">
        <v>162</v>
      </c>
      <c r="D20" s="11">
        <v>142</v>
      </c>
      <c r="E20" s="7"/>
    </row>
    <row r="21" spans="1:5" x14ac:dyDescent="0.3">
      <c r="A21" s="7">
        <v>20</v>
      </c>
      <c r="B21" s="7" t="s">
        <v>163</v>
      </c>
      <c r="C21" s="7" t="s">
        <v>134</v>
      </c>
      <c r="D21" s="11">
        <v>9</v>
      </c>
      <c r="E21" s="7"/>
    </row>
    <row r="22" spans="1:5" x14ac:dyDescent="0.3">
      <c r="A22" s="7">
        <v>21</v>
      </c>
      <c r="B22" s="7" t="s">
        <v>164</v>
      </c>
      <c r="C22" s="7" t="s">
        <v>162</v>
      </c>
      <c r="D22" s="11">
        <v>21</v>
      </c>
      <c r="E22" s="7"/>
    </row>
    <row r="23" spans="1:5" x14ac:dyDescent="0.3">
      <c r="A23" s="7">
        <v>22</v>
      </c>
      <c r="B23" s="7" t="s">
        <v>165</v>
      </c>
      <c r="C23" s="7" t="s">
        <v>131</v>
      </c>
      <c r="D23" s="11">
        <v>20</v>
      </c>
      <c r="E23" s="7"/>
    </row>
    <row r="24" spans="1:5" x14ac:dyDescent="0.3">
      <c r="A24" s="7">
        <v>23</v>
      </c>
      <c r="B24" s="7" t="s">
        <v>166</v>
      </c>
      <c r="C24" s="7" t="s">
        <v>162</v>
      </c>
      <c r="D24" s="11">
        <v>141</v>
      </c>
      <c r="E24" s="7"/>
    </row>
    <row r="25" spans="1:5" x14ac:dyDescent="0.3">
      <c r="A25" s="7">
        <v>24</v>
      </c>
      <c r="B25" s="7" t="s">
        <v>167</v>
      </c>
      <c r="C25" s="7" t="s">
        <v>162</v>
      </c>
      <c r="D25" s="11">
        <v>23</v>
      </c>
      <c r="E25" s="7"/>
    </row>
    <row r="26" spans="1:5" x14ac:dyDescent="0.3">
      <c r="A26" s="7">
        <v>25</v>
      </c>
      <c r="B26" s="7" t="s">
        <v>168</v>
      </c>
      <c r="C26" s="7" t="s">
        <v>151</v>
      </c>
      <c r="D26" s="11">
        <v>128</v>
      </c>
      <c r="E26" s="7"/>
    </row>
    <row r="27" spans="1:5" x14ac:dyDescent="0.3">
      <c r="A27" s="7">
        <v>26</v>
      </c>
      <c r="B27" s="7" t="s">
        <v>169</v>
      </c>
      <c r="C27" s="7" t="s">
        <v>139</v>
      </c>
      <c r="D27" s="12"/>
      <c r="E27" s="7"/>
    </row>
    <row r="28" spans="1:5" x14ac:dyDescent="0.3">
      <c r="A28" s="7">
        <v>27</v>
      </c>
      <c r="B28" s="7" t="s">
        <v>170</v>
      </c>
      <c r="C28" s="7" t="s">
        <v>142</v>
      </c>
      <c r="D28" s="11" t="s">
        <v>143</v>
      </c>
      <c r="E28" s="7"/>
    </row>
    <row r="29" spans="1:5" x14ac:dyDescent="0.3">
      <c r="A29" s="7">
        <v>28</v>
      </c>
      <c r="B29" s="7" t="s">
        <v>171</v>
      </c>
      <c r="C29" s="7" t="s">
        <v>142</v>
      </c>
      <c r="D29" s="11" t="s">
        <v>143</v>
      </c>
      <c r="E29" s="7"/>
    </row>
    <row r="30" spans="1:5" x14ac:dyDescent="0.3">
      <c r="A30" s="7">
        <v>29</v>
      </c>
      <c r="B30" s="7" t="s">
        <v>172</v>
      </c>
      <c r="C30" s="7" t="s">
        <v>142</v>
      </c>
      <c r="D30" s="11">
        <v>134</v>
      </c>
      <c r="E30" s="7"/>
    </row>
    <row r="31" spans="1:5" x14ac:dyDescent="0.3">
      <c r="A31" s="7">
        <v>30</v>
      </c>
      <c r="B31" s="7" t="s">
        <v>173</v>
      </c>
      <c r="C31" s="7" t="s">
        <v>142</v>
      </c>
      <c r="D31" s="11">
        <v>47</v>
      </c>
      <c r="E31" s="7"/>
    </row>
    <row r="32" spans="1:5" x14ac:dyDescent="0.3">
      <c r="A32" s="7">
        <v>31</v>
      </c>
      <c r="B32" s="7" t="s">
        <v>174</v>
      </c>
      <c r="C32" s="7" t="s">
        <v>131</v>
      </c>
      <c r="D32" s="11" t="s">
        <v>175</v>
      </c>
      <c r="E32" s="7"/>
    </row>
    <row r="33" spans="1:5" x14ac:dyDescent="0.3">
      <c r="A33" s="7">
        <v>32</v>
      </c>
      <c r="B33" s="7" t="s">
        <v>176</v>
      </c>
      <c r="C33" s="7" t="s">
        <v>177</v>
      </c>
      <c r="D33" s="11">
        <v>38</v>
      </c>
      <c r="E33" s="7"/>
    </row>
    <row r="34" spans="1:5" x14ac:dyDescent="0.3">
      <c r="A34" s="7">
        <v>33</v>
      </c>
      <c r="B34" s="7" t="s">
        <v>178</v>
      </c>
      <c r="C34" s="7" t="s">
        <v>151</v>
      </c>
      <c r="D34" s="11" t="s">
        <v>179</v>
      </c>
      <c r="E34" s="7"/>
    </row>
    <row r="35" spans="1:5" x14ac:dyDescent="0.3">
      <c r="A35" s="7">
        <v>34</v>
      </c>
      <c r="B35" s="7" t="s">
        <v>180</v>
      </c>
      <c r="C35" s="7" t="s">
        <v>134</v>
      </c>
      <c r="D35" s="11">
        <v>139</v>
      </c>
      <c r="E35" s="7"/>
    </row>
    <row r="36" spans="1:5" x14ac:dyDescent="0.3">
      <c r="A36" s="7">
        <v>35</v>
      </c>
      <c r="B36" s="7" t="s">
        <v>181</v>
      </c>
      <c r="C36" s="7" t="s">
        <v>162</v>
      </c>
      <c r="D36" s="11" t="s">
        <v>182</v>
      </c>
      <c r="E36" s="7"/>
    </row>
    <row r="37" spans="1:5" x14ac:dyDescent="0.3">
      <c r="A37" s="7">
        <v>36</v>
      </c>
      <c r="B37" s="7" t="s">
        <v>183</v>
      </c>
      <c r="C37" s="7" t="s">
        <v>137</v>
      </c>
      <c r="D37" s="11" t="s">
        <v>184</v>
      </c>
      <c r="E37" s="7"/>
    </row>
    <row r="38" spans="1:5" x14ac:dyDescent="0.3">
      <c r="A38" s="7">
        <v>37</v>
      </c>
      <c r="B38" s="7" t="s">
        <v>185</v>
      </c>
      <c r="C38" s="7" t="s">
        <v>162</v>
      </c>
      <c r="D38" s="11">
        <v>24</v>
      </c>
      <c r="E38" s="7"/>
    </row>
    <row r="39" spans="1:5" x14ac:dyDescent="0.3">
      <c r="A39" s="7">
        <v>38</v>
      </c>
      <c r="B39" s="7" t="s">
        <v>186</v>
      </c>
      <c r="C39" s="7" t="s">
        <v>134</v>
      </c>
      <c r="D39" s="11" t="s">
        <v>187</v>
      </c>
      <c r="E39" s="7"/>
    </row>
    <row r="40" spans="1:5" x14ac:dyDescent="0.3">
      <c r="A40" s="7">
        <v>39</v>
      </c>
      <c r="B40" s="7" t="s">
        <v>188</v>
      </c>
      <c r="C40" s="7" t="s">
        <v>139</v>
      </c>
      <c r="D40" s="11">
        <v>149</v>
      </c>
      <c r="E40" s="7"/>
    </row>
    <row r="41" spans="1:5" x14ac:dyDescent="0.3">
      <c r="A41" s="7">
        <v>40</v>
      </c>
      <c r="B41" s="7" t="s">
        <v>169</v>
      </c>
      <c r="C41" s="7" t="s">
        <v>134</v>
      </c>
      <c r="D41" s="12"/>
      <c r="E41" s="7"/>
    </row>
    <row r="42" spans="1:5" x14ac:dyDescent="0.3">
      <c r="A42" s="7">
        <v>41</v>
      </c>
      <c r="B42" s="7" t="s">
        <v>189</v>
      </c>
      <c r="C42" s="7" t="s">
        <v>134</v>
      </c>
      <c r="D42" s="11">
        <v>148</v>
      </c>
      <c r="E42" s="7"/>
    </row>
    <row r="43" spans="1:5" x14ac:dyDescent="0.3">
      <c r="A43" s="7">
        <v>42</v>
      </c>
      <c r="B43" s="7" t="s">
        <v>3</v>
      </c>
      <c r="C43" s="7" t="s">
        <v>162</v>
      </c>
      <c r="D43" s="11" t="s">
        <v>190</v>
      </c>
      <c r="E43" s="7"/>
    </row>
    <row r="44" spans="1:5" x14ac:dyDescent="0.3">
      <c r="A44" s="7">
        <v>43</v>
      </c>
      <c r="B44" s="7" t="s">
        <v>94</v>
      </c>
      <c r="C44" s="7" t="s">
        <v>137</v>
      </c>
      <c r="D44" s="11">
        <v>28</v>
      </c>
      <c r="E44" s="7"/>
    </row>
    <row r="45" spans="1:5" x14ac:dyDescent="0.3">
      <c r="A45" s="7">
        <v>44</v>
      </c>
      <c r="B45" s="7" t="s">
        <v>4</v>
      </c>
      <c r="C45" s="7" t="s">
        <v>162</v>
      </c>
      <c r="D45" s="11">
        <v>21</v>
      </c>
      <c r="E45" s="7"/>
    </row>
    <row r="46" spans="1:5" x14ac:dyDescent="0.3">
      <c r="A46" s="7">
        <v>45</v>
      </c>
      <c r="B46" s="7" t="s">
        <v>191</v>
      </c>
      <c r="C46" s="7" t="s">
        <v>137</v>
      </c>
      <c r="D46" s="11">
        <v>54</v>
      </c>
      <c r="E46" s="7"/>
    </row>
    <row r="47" spans="1:5" x14ac:dyDescent="0.3">
      <c r="A47" s="7">
        <v>46</v>
      </c>
      <c r="B47" s="7" t="s">
        <v>96</v>
      </c>
      <c r="C47" s="7" t="s">
        <v>139</v>
      </c>
      <c r="D47" s="11" t="s">
        <v>192</v>
      </c>
      <c r="E47" s="7"/>
    </row>
    <row r="48" spans="1:5" x14ac:dyDescent="0.3">
      <c r="A48" s="7">
        <v>47</v>
      </c>
      <c r="B48" s="7" t="s">
        <v>169</v>
      </c>
      <c r="C48" s="7" t="s">
        <v>162</v>
      </c>
      <c r="D48" s="12"/>
      <c r="E48" s="7"/>
    </row>
    <row r="49" spans="1:5" x14ac:dyDescent="0.3">
      <c r="A49" s="7">
        <v>48</v>
      </c>
      <c r="B49" s="7" t="s">
        <v>193</v>
      </c>
      <c r="C49" s="7" t="s">
        <v>146</v>
      </c>
      <c r="D49" s="11">
        <v>124</v>
      </c>
      <c r="E49" s="7"/>
    </row>
    <row r="50" spans="1:5" x14ac:dyDescent="0.3">
      <c r="A50" s="7">
        <v>49</v>
      </c>
      <c r="B50" s="7" t="s">
        <v>194</v>
      </c>
      <c r="C50" s="7" t="s">
        <v>162</v>
      </c>
      <c r="D50" s="11" t="s">
        <v>195</v>
      </c>
      <c r="E50" s="7"/>
    </row>
    <row r="51" spans="1:5" x14ac:dyDescent="0.3">
      <c r="A51" s="7">
        <v>50</v>
      </c>
      <c r="B51" s="7" t="s">
        <v>99</v>
      </c>
      <c r="C51" s="7" t="s">
        <v>177</v>
      </c>
      <c r="D51" s="11">
        <v>135</v>
      </c>
      <c r="E51" s="7"/>
    </row>
    <row r="52" spans="1:5" x14ac:dyDescent="0.3">
      <c r="A52" s="7">
        <v>51</v>
      </c>
      <c r="B52" s="7" t="s">
        <v>100</v>
      </c>
      <c r="C52" s="7" t="s">
        <v>151</v>
      </c>
      <c r="D52" s="11">
        <v>88</v>
      </c>
      <c r="E52" s="7"/>
    </row>
    <row r="53" spans="1:5" x14ac:dyDescent="0.3">
      <c r="A53" s="7">
        <v>52</v>
      </c>
      <c r="B53" s="7" t="s">
        <v>5</v>
      </c>
      <c r="C53" s="7" t="s">
        <v>137</v>
      </c>
      <c r="D53" s="11">
        <v>40</v>
      </c>
      <c r="E53" s="7"/>
    </row>
    <row r="54" spans="1:5" x14ac:dyDescent="0.3">
      <c r="A54" s="7">
        <v>53</v>
      </c>
      <c r="B54" s="7" t="s">
        <v>101</v>
      </c>
      <c r="C54" s="7" t="s">
        <v>151</v>
      </c>
      <c r="D54" s="11">
        <v>127</v>
      </c>
      <c r="E54" s="7"/>
    </row>
    <row r="55" spans="1:5" x14ac:dyDescent="0.3">
      <c r="A55" s="7">
        <v>54</v>
      </c>
      <c r="B55" s="7" t="s">
        <v>196</v>
      </c>
      <c r="C55" s="7" t="s">
        <v>139</v>
      </c>
      <c r="D55" s="11" t="s">
        <v>197</v>
      </c>
      <c r="E55" s="7"/>
    </row>
    <row r="56" spans="1:5" x14ac:dyDescent="0.3">
      <c r="A56" s="7">
        <v>55</v>
      </c>
      <c r="B56" s="7" t="s">
        <v>6</v>
      </c>
      <c r="C56" s="7" t="s">
        <v>137</v>
      </c>
      <c r="D56" s="11">
        <v>39</v>
      </c>
      <c r="E56" s="7"/>
    </row>
    <row r="57" spans="1:5" x14ac:dyDescent="0.3">
      <c r="A57" s="7">
        <v>56</v>
      </c>
      <c r="B57" s="7" t="s">
        <v>198</v>
      </c>
      <c r="C57" s="7" t="s">
        <v>137</v>
      </c>
      <c r="D57" s="11" t="s">
        <v>199</v>
      </c>
      <c r="E57" s="7"/>
    </row>
    <row r="58" spans="1:5" x14ac:dyDescent="0.3">
      <c r="A58" s="7">
        <v>57</v>
      </c>
      <c r="B58" s="7" t="s">
        <v>7</v>
      </c>
      <c r="C58" s="7" t="s">
        <v>177</v>
      </c>
      <c r="D58" s="11" t="s">
        <v>200</v>
      </c>
      <c r="E58" s="7"/>
    </row>
    <row r="59" spans="1:5" x14ac:dyDescent="0.3">
      <c r="A59" s="7">
        <v>58</v>
      </c>
      <c r="B59" s="7" t="s">
        <v>201</v>
      </c>
      <c r="C59" s="7" t="s">
        <v>137</v>
      </c>
      <c r="D59" s="11">
        <v>37</v>
      </c>
      <c r="E59" s="7"/>
    </row>
    <row r="60" spans="1:5" x14ac:dyDescent="0.3">
      <c r="A60" s="7">
        <v>59</v>
      </c>
      <c r="B60" s="7" t="s">
        <v>8</v>
      </c>
      <c r="C60" s="7" t="s">
        <v>151</v>
      </c>
      <c r="D60" s="11">
        <v>135</v>
      </c>
      <c r="E60" s="7"/>
    </row>
    <row r="61" spans="1:5" x14ac:dyDescent="0.3">
      <c r="A61" s="7">
        <v>60</v>
      </c>
      <c r="B61" s="7" t="s">
        <v>202</v>
      </c>
      <c r="C61" s="7" t="s">
        <v>162</v>
      </c>
      <c r="D61" s="11" t="s">
        <v>203</v>
      </c>
      <c r="E61" s="7"/>
    </row>
    <row r="62" spans="1:5" x14ac:dyDescent="0.3">
      <c r="A62" s="7">
        <v>61</v>
      </c>
      <c r="B62" s="7" t="s">
        <v>204</v>
      </c>
      <c r="C62" s="7" t="s">
        <v>162</v>
      </c>
      <c r="D62" s="11" t="s">
        <v>205</v>
      </c>
      <c r="E62" s="7"/>
    </row>
    <row r="63" spans="1:5" x14ac:dyDescent="0.3">
      <c r="A63" s="7">
        <v>62</v>
      </c>
      <c r="B63" s="7" t="s">
        <v>10</v>
      </c>
      <c r="C63" s="7" t="s">
        <v>162</v>
      </c>
      <c r="D63" s="11" t="s">
        <v>206</v>
      </c>
      <c r="E63" s="7"/>
    </row>
    <row r="64" spans="1:5" x14ac:dyDescent="0.3">
      <c r="A64" s="7">
        <v>63</v>
      </c>
      <c r="B64" s="7" t="s">
        <v>11</v>
      </c>
      <c r="C64" s="7" t="s">
        <v>159</v>
      </c>
      <c r="D64" s="11" t="s">
        <v>207</v>
      </c>
      <c r="E64" s="7"/>
    </row>
    <row r="65" spans="1:5" x14ac:dyDescent="0.3">
      <c r="A65" s="7">
        <v>64</v>
      </c>
      <c r="B65" s="7" t="s">
        <v>208</v>
      </c>
      <c r="C65" s="7" t="s">
        <v>151</v>
      </c>
      <c r="D65" s="11">
        <v>49</v>
      </c>
      <c r="E65" s="7"/>
    </row>
    <row r="66" spans="1:5" x14ac:dyDescent="0.3">
      <c r="A66" s="7">
        <v>65</v>
      </c>
      <c r="B66" s="7" t="s">
        <v>209</v>
      </c>
      <c r="C66" s="7" t="s">
        <v>159</v>
      </c>
      <c r="D66" s="11" t="s">
        <v>210</v>
      </c>
      <c r="E66" s="7"/>
    </row>
    <row r="67" spans="1:5" x14ac:dyDescent="0.3">
      <c r="A67" s="7">
        <v>66</v>
      </c>
      <c r="B67" s="7" t="s">
        <v>12</v>
      </c>
      <c r="C67" s="7" t="s">
        <v>159</v>
      </c>
      <c r="D67" s="11" t="s">
        <v>211</v>
      </c>
      <c r="E67" s="7"/>
    </row>
    <row r="68" spans="1:5" x14ac:dyDescent="0.3">
      <c r="A68" s="7">
        <v>67</v>
      </c>
      <c r="B68" s="7" t="s">
        <v>13</v>
      </c>
      <c r="C68" s="7" t="s">
        <v>139</v>
      </c>
      <c r="D68" s="11">
        <v>35</v>
      </c>
      <c r="E68" s="7"/>
    </row>
    <row r="69" spans="1:5" x14ac:dyDescent="0.3">
      <c r="A69" s="7">
        <v>68</v>
      </c>
      <c r="B69" s="7" t="s">
        <v>14</v>
      </c>
      <c r="C69" s="7" t="s">
        <v>146</v>
      </c>
      <c r="D69" s="11">
        <v>130</v>
      </c>
      <c r="E69" s="7"/>
    </row>
    <row r="70" spans="1:5" x14ac:dyDescent="0.3">
      <c r="A70" s="7">
        <v>69</v>
      </c>
      <c r="B70" s="7" t="s">
        <v>212</v>
      </c>
      <c r="C70" s="7" t="s">
        <v>146</v>
      </c>
      <c r="D70" s="11" t="s">
        <v>213</v>
      </c>
      <c r="E70" s="7"/>
    </row>
    <row r="71" spans="1:5" x14ac:dyDescent="0.3">
      <c r="A71" s="7">
        <v>70</v>
      </c>
      <c r="B71" s="7" t="s">
        <v>15</v>
      </c>
      <c r="C71" s="7" t="s">
        <v>139</v>
      </c>
      <c r="D71" s="11" t="s">
        <v>197</v>
      </c>
      <c r="E71" s="7"/>
    </row>
    <row r="72" spans="1:5" x14ac:dyDescent="0.3">
      <c r="A72" s="7">
        <v>71</v>
      </c>
      <c r="B72" s="7" t="s">
        <v>16</v>
      </c>
      <c r="C72" s="7" t="s">
        <v>146</v>
      </c>
      <c r="D72" s="11" t="s">
        <v>192</v>
      </c>
      <c r="E72" s="7"/>
    </row>
    <row r="73" spans="1:5" x14ac:dyDescent="0.3">
      <c r="A73" s="7">
        <v>72</v>
      </c>
      <c r="B73" s="7" t="s">
        <v>17</v>
      </c>
      <c r="C73" s="7" t="s">
        <v>177</v>
      </c>
      <c r="D73" s="11" t="s">
        <v>214</v>
      </c>
      <c r="E73" s="7"/>
    </row>
    <row r="74" spans="1:5" x14ac:dyDescent="0.3">
      <c r="A74" s="7">
        <v>73</v>
      </c>
      <c r="B74" s="7" t="s">
        <v>18</v>
      </c>
      <c r="C74" s="7" t="s">
        <v>139</v>
      </c>
      <c r="D74" s="11" t="s">
        <v>215</v>
      </c>
      <c r="E74" s="7"/>
    </row>
    <row r="75" spans="1:5" x14ac:dyDescent="0.3">
      <c r="A75" s="7">
        <v>74</v>
      </c>
      <c r="B75" s="7" t="s">
        <v>19</v>
      </c>
      <c r="C75" s="7" t="s">
        <v>162</v>
      </c>
      <c r="D75" s="11" t="s">
        <v>155</v>
      </c>
      <c r="E75" s="7"/>
    </row>
    <row r="76" spans="1:5" x14ac:dyDescent="0.3">
      <c r="A76" s="7">
        <v>75</v>
      </c>
      <c r="B76" s="7" t="s">
        <v>20</v>
      </c>
      <c r="C76" s="7" t="s">
        <v>139</v>
      </c>
      <c r="D76" s="11" t="s">
        <v>216</v>
      </c>
      <c r="E76" s="7"/>
    </row>
    <row r="77" spans="1:5" x14ac:dyDescent="0.3">
      <c r="A77" s="7">
        <v>76</v>
      </c>
      <c r="B77" s="7" t="s">
        <v>111</v>
      </c>
      <c r="C77" s="7" t="s">
        <v>146</v>
      </c>
      <c r="D77" s="11" t="s">
        <v>217</v>
      </c>
      <c r="E77" s="7"/>
    </row>
    <row r="78" spans="1:5" x14ac:dyDescent="0.3">
      <c r="A78" s="7">
        <v>77</v>
      </c>
      <c r="B78" s="7" t="s">
        <v>218</v>
      </c>
      <c r="C78" s="7" t="s">
        <v>146</v>
      </c>
      <c r="D78" s="11">
        <v>100</v>
      </c>
      <c r="E78" s="7"/>
    </row>
    <row r="79" spans="1:5" x14ac:dyDescent="0.3">
      <c r="A79" s="7">
        <v>78</v>
      </c>
      <c r="B79" s="7" t="s">
        <v>219</v>
      </c>
      <c r="C79" s="7" t="s">
        <v>151</v>
      </c>
      <c r="D79" s="11" t="s">
        <v>220</v>
      </c>
      <c r="E79" s="7"/>
    </row>
    <row r="80" spans="1:5" x14ac:dyDescent="0.3">
      <c r="A80" s="7">
        <v>79</v>
      </c>
      <c r="B80" s="7" t="s">
        <v>221</v>
      </c>
      <c r="C80" s="7" t="s">
        <v>139</v>
      </c>
      <c r="D80" s="11">
        <v>32</v>
      </c>
      <c r="E80" s="7"/>
    </row>
    <row r="81" spans="1:5" x14ac:dyDescent="0.3">
      <c r="A81" s="7">
        <v>80</v>
      </c>
      <c r="B81" s="7" t="s">
        <v>21</v>
      </c>
      <c r="C81" s="7" t="s">
        <v>159</v>
      </c>
      <c r="D81" s="11" t="s">
        <v>222</v>
      </c>
      <c r="E81" s="7"/>
    </row>
    <row r="82" spans="1:5" x14ac:dyDescent="0.3">
      <c r="A82" s="7">
        <v>81</v>
      </c>
      <c r="B82" s="7" t="s">
        <v>22</v>
      </c>
      <c r="C82" s="7" t="s">
        <v>137</v>
      </c>
      <c r="D82" s="11">
        <v>61.63</v>
      </c>
      <c r="E82" s="7"/>
    </row>
    <row r="83" spans="1:5" x14ac:dyDescent="0.3">
      <c r="A83" s="7">
        <v>82</v>
      </c>
      <c r="B83" s="7" t="s">
        <v>117</v>
      </c>
      <c r="C83" s="7" t="s">
        <v>137</v>
      </c>
      <c r="D83" s="11" t="s">
        <v>223</v>
      </c>
      <c r="E83" s="7"/>
    </row>
    <row r="84" spans="1:5" x14ac:dyDescent="0.3">
      <c r="A84" s="7">
        <v>83</v>
      </c>
      <c r="B84" s="7" t="s">
        <v>23</v>
      </c>
      <c r="C84" s="7" t="s">
        <v>134</v>
      </c>
      <c r="D84" s="11" t="s">
        <v>224</v>
      </c>
      <c r="E84" s="7"/>
    </row>
    <row r="85" spans="1:5" x14ac:dyDescent="0.3">
      <c r="A85" s="7">
        <v>84</v>
      </c>
      <c r="B85" s="7" t="s">
        <v>24</v>
      </c>
      <c r="C85" s="7" t="s">
        <v>162</v>
      </c>
      <c r="D85" s="11" t="s">
        <v>206</v>
      </c>
      <c r="E85" s="7"/>
    </row>
    <row r="86" spans="1:5" x14ac:dyDescent="0.3">
      <c r="A86" s="7">
        <v>85</v>
      </c>
      <c r="B86" s="7" t="s">
        <v>25</v>
      </c>
      <c r="C86" s="7" t="s">
        <v>137</v>
      </c>
      <c r="D86" s="11" t="s">
        <v>225</v>
      </c>
      <c r="E86" s="7"/>
    </row>
    <row r="87" spans="1:5" x14ac:dyDescent="0.3">
      <c r="A87" s="7">
        <v>86</v>
      </c>
      <c r="B87" s="7" t="s">
        <v>226</v>
      </c>
      <c r="C87" s="7" t="s">
        <v>139</v>
      </c>
      <c r="D87" s="11">
        <v>42</v>
      </c>
      <c r="E87" s="7"/>
    </row>
    <row r="88" spans="1:5" x14ac:dyDescent="0.3">
      <c r="A88" s="7">
        <v>87</v>
      </c>
      <c r="B88" s="7" t="s">
        <v>26</v>
      </c>
      <c r="C88" s="7" t="s">
        <v>139</v>
      </c>
      <c r="D88" s="11" t="s">
        <v>227</v>
      </c>
      <c r="E88" s="7"/>
    </row>
    <row r="89" spans="1:5" x14ac:dyDescent="0.3">
      <c r="A89" s="7">
        <v>88</v>
      </c>
      <c r="B89" s="7" t="s">
        <v>27</v>
      </c>
      <c r="C89" s="7" t="s">
        <v>137</v>
      </c>
      <c r="D89" s="11" t="s">
        <v>228</v>
      </c>
      <c r="E89" s="7"/>
    </row>
    <row r="90" spans="1:5" x14ac:dyDescent="0.3">
      <c r="A90" s="7">
        <v>89</v>
      </c>
      <c r="B90" s="7" t="s">
        <v>229</v>
      </c>
      <c r="C90" s="7" t="s">
        <v>162</v>
      </c>
      <c r="D90" s="11">
        <v>108</v>
      </c>
      <c r="E90" s="7"/>
    </row>
    <row r="91" spans="1:5" x14ac:dyDescent="0.3">
      <c r="A91" s="7">
        <v>90</v>
      </c>
      <c r="B91" s="7" t="s">
        <v>230</v>
      </c>
      <c r="C91" s="7" t="s">
        <v>162</v>
      </c>
      <c r="D91" s="11" t="s">
        <v>231</v>
      </c>
      <c r="E91" s="7"/>
    </row>
    <row r="92" spans="1:5" x14ac:dyDescent="0.3">
      <c r="A92" s="7">
        <v>91</v>
      </c>
      <c r="B92" s="7" t="s">
        <v>232</v>
      </c>
      <c r="C92" s="7" t="s">
        <v>137</v>
      </c>
      <c r="D92" s="11" t="s">
        <v>190</v>
      </c>
      <c r="E92" s="7"/>
    </row>
    <row r="93" spans="1:5" x14ac:dyDescent="0.3">
      <c r="A93" s="7">
        <v>92</v>
      </c>
      <c r="B93" s="7" t="s">
        <v>29</v>
      </c>
      <c r="C93" s="7" t="s">
        <v>137</v>
      </c>
      <c r="D93" s="11">
        <v>54</v>
      </c>
      <c r="E93" s="7"/>
    </row>
    <row r="94" spans="1:5" x14ac:dyDescent="0.3">
      <c r="A94" s="7">
        <v>93</v>
      </c>
      <c r="B94" s="7" t="s">
        <v>30</v>
      </c>
      <c r="C94" s="7" t="s">
        <v>134</v>
      </c>
      <c r="D94" s="11">
        <v>105</v>
      </c>
      <c r="E94" s="7"/>
    </row>
    <row r="95" spans="1:5" x14ac:dyDescent="0.3">
      <c r="A95" s="7">
        <v>94</v>
      </c>
      <c r="B95" s="7" t="s">
        <v>233</v>
      </c>
      <c r="C95" s="7" t="s">
        <v>137</v>
      </c>
      <c r="D95" s="11" t="s">
        <v>234</v>
      </c>
      <c r="E95" s="7"/>
    </row>
    <row r="96" spans="1:5" x14ac:dyDescent="0.3">
      <c r="A96" s="7">
        <v>95</v>
      </c>
      <c r="B96" s="7" t="s">
        <v>32</v>
      </c>
      <c r="C96" s="7" t="s">
        <v>137</v>
      </c>
      <c r="D96" s="11" t="s">
        <v>235</v>
      </c>
      <c r="E96" s="7"/>
    </row>
    <row r="97" spans="1:5" x14ac:dyDescent="0.3">
      <c r="A97" s="7">
        <v>96</v>
      </c>
      <c r="B97" s="7" t="s">
        <v>120</v>
      </c>
      <c r="C97" s="7" t="s">
        <v>137</v>
      </c>
      <c r="D97" s="11">
        <v>146</v>
      </c>
      <c r="E97" s="7"/>
    </row>
    <row r="98" spans="1:5" x14ac:dyDescent="0.3">
      <c r="A98" s="7">
        <v>97</v>
      </c>
      <c r="B98" s="7" t="s">
        <v>33</v>
      </c>
      <c r="C98" s="7" t="s">
        <v>151</v>
      </c>
      <c r="D98" s="11">
        <v>122</v>
      </c>
      <c r="E98" s="7"/>
    </row>
    <row r="99" spans="1:5" x14ac:dyDescent="0.3">
      <c r="A99" s="7">
        <v>98</v>
      </c>
      <c r="B99" s="7" t="s">
        <v>236</v>
      </c>
      <c r="C99" s="7" t="s">
        <v>151</v>
      </c>
      <c r="D99" s="11">
        <v>121</v>
      </c>
      <c r="E99" s="7"/>
    </row>
    <row r="100" spans="1:5" x14ac:dyDescent="0.3">
      <c r="A100" s="7">
        <v>99</v>
      </c>
      <c r="B100" s="7" t="s">
        <v>34</v>
      </c>
      <c r="C100" s="7" t="s">
        <v>139</v>
      </c>
      <c r="D100" s="11" t="s">
        <v>237</v>
      </c>
      <c r="E100" s="7"/>
    </row>
    <row r="101" spans="1:5" x14ac:dyDescent="0.3">
      <c r="A101" s="7">
        <v>100</v>
      </c>
      <c r="B101" s="7" t="s">
        <v>35</v>
      </c>
      <c r="C101" s="7" t="s">
        <v>139</v>
      </c>
      <c r="D101" s="11">
        <v>28</v>
      </c>
      <c r="E101" s="7"/>
    </row>
    <row r="102" spans="1:5" x14ac:dyDescent="0.3">
      <c r="A102" s="7">
        <v>101</v>
      </c>
      <c r="B102" s="7" t="s">
        <v>36</v>
      </c>
      <c r="C102" s="7" t="s">
        <v>139</v>
      </c>
      <c r="D102" s="11" t="s">
        <v>238</v>
      </c>
      <c r="E102" s="7"/>
    </row>
    <row r="103" spans="1:5" x14ac:dyDescent="0.3">
      <c r="A103" s="7">
        <v>102</v>
      </c>
      <c r="B103" s="7" t="s">
        <v>239</v>
      </c>
      <c r="C103" s="7" t="s">
        <v>134</v>
      </c>
      <c r="D103" s="11">
        <v>95</v>
      </c>
      <c r="E103" s="7"/>
    </row>
    <row r="104" spans="1:5" x14ac:dyDescent="0.3">
      <c r="A104" s="7">
        <v>103</v>
      </c>
      <c r="B104" s="7" t="s">
        <v>37</v>
      </c>
      <c r="C104" s="7" t="s">
        <v>146</v>
      </c>
      <c r="D104" s="11" t="s">
        <v>220</v>
      </c>
      <c r="E104" s="7"/>
    </row>
    <row r="105" spans="1:5" x14ac:dyDescent="0.3">
      <c r="A105" s="7">
        <v>104</v>
      </c>
      <c r="B105" s="7" t="s">
        <v>240</v>
      </c>
      <c r="C105" s="7" t="s">
        <v>142</v>
      </c>
      <c r="D105" s="11">
        <v>134</v>
      </c>
      <c r="E105" s="7"/>
    </row>
    <row r="106" spans="1:5" x14ac:dyDescent="0.3">
      <c r="A106" s="7">
        <v>105</v>
      </c>
      <c r="B106" s="7" t="s">
        <v>241</v>
      </c>
      <c r="C106" s="7" t="s">
        <v>177</v>
      </c>
      <c r="D106" s="11">
        <v>44</v>
      </c>
      <c r="E106" s="7"/>
    </row>
    <row r="107" spans="1:5" x14ac:dyDescent="0.3">
      <c r="A107" s="7">
        <v>106</v>
      </c>
      <c r="B107" s="7" t="s">
        <v>39</v>
      </c>
      <c r="C107" s="7" t="s">
        <v>134</v>
      </c>
      <c r="D107" s="11" t="s">
        <v>184</v>
      </c>
      <c r="E107" s="7"/>
    </row>
    <row r="108" spans="1:5" x14ac:dyDescent="0.3">
      <c r="A108" s="7">
        <v>107</v>
      </c>
      <c r="B108" s="7" t="s">
        <v>40</v>
      </c>
      <c r="C108" s="7" t="s">
        <v>151</v>
      </c>
      <c r="D108" s="11">
        <v>36</v>
      </c>
      <c r="E108" s="7"/>
    </row>
    <row r="109" spans="1:5" x14ac:dyDescent="0.3">
      <c r="A109" s="7">
        <v>108</v>
      </c>
      <c r="B109" s="7" t="s">
        <v>41</v>
      </c>
      <c r="C109" s="7" t="s">
        <v>134</v>
      </c>
      <c r="D109" s="11">
        <v>144</v>
      </c>
      <c r="E109" s="7"/>
    </row>
    <row r="110" spans="1:5" x14ac:dyDescent="0.3">
      <c r="A110" s="7">
        <v>109</v>
      </c>
      <c r="B110" s="7" t="s">
        <v>42</v>
      </c>
      <c r="C110" s="7" t="s">
        <v>162</v>
      </c>
      <c r="D110" s="11">
        <v>22</v>
      </c>
      <c r="E110" s="7"/>
    </row>
    <row r="111" spans="1:5" x14ac:dyDescent="0.3">
      <c r="A111" s="7">
        <v>110</v>
      </c>
      <c r="B111" s="7" t="s">
        <v>43</v>
      </c>
      <c r="C111" s="7" t="s">
        <v>142</v>
      </c>
      <c r="D111" s="11" t="s">
        <v>143</v>
      </c>
      <c r="E111" s="7"/>
    </row>
    <row r="112" spans="1:5" x14ac:dyDescent="0.3">
      <c r="A112" s="7">
        <v>111</v>
      </c>
      <c r="B112" s="7" t="s">
        <v>44</v>
      </c>
      <c r="C112" s="7" t="s">
        <v>162</v>
      </c>
      <c r="D112" s="11" t="s">
        <v>242</v>
      </c>
      <c r="E112" s="7"/>
    </row>
    <row r="113" spans="1:5" x14ac:dyDescent="0.3">
      <c r="A113" s="7">
        <v>112</v>
      </c>
      <c r="B113" s="7" t="s">
        <v>45</v>
      </c>
      <c r="C113" s="7" t="s">
        <v>146</v>
      </c>
      <c r="D113" s="11" t="s">
        <v>243</v>
      </c>
      <c r="E113" s="7"/>
    </row>
    <row r="114" spans="1:5" x14ac:dyDescent="0.3">
      <c r="A114" s="7">
        <v>113</v>
      </c>
      <c r="B114" s="7" t="s">
        <v>121</v>
      </c>
      <c r="C114" s="7" t="s">
        <v>142</v>
      </c>
      <c r="D114" s="11">
        <v>135</v>
      </c>
      <c r="E114" s="7"/>
    </row>
    <row r="115" spans="1:5" x14ac:dyDescent="0.3">
      <c r="A115" s="7">
        <v>114</v>
      </c>
      <c r="B115" s="7" t="s">
        <v>46</v>
      </c>
      <c r="C115" s="7" t="s">
        <v>139</v>
      </c>
      <c r="D115" s="11" t="s">
        <v>238</v>
      </c>
      <c r="E115" s="7"/>
    </row>
    <row r="116" spans="1:5" x14ac:dyDescent="0.3">
      <c r="A116" s="7">
        <v>115</v>
      </c>
      <c r="B116" s="7" t="s">
        <v>47</v>
      </c>
      <c r="C116" s="7" t="s">
        <v>151</v>
      </c>
      <c r="D116" s="11">
        <v>36</v>
      </c>
      <c r="E116" s="7"/>
    </row>
    <row r="117" spans="1:5" x14ac:dyDescent="0.3">
      <c r="A117" s="7">
        <v>116</v>
      </c>
      <c r="B117" s="7" t="s">
        <v>48</v>
      </c>
      <c r="C117" s="7" t="s">
        <v>151</v>
      </c>
      <c r="D117" s="11">
        <v>135</v>
      </c>
      <c r="E117" s="7"/>
    </row>
    <row r="118" spans="1:5" x14ac:dyDescent="0.3">
      <c r="A118" s="7">
        <v>117</v>
      </c>
      <c r="B118" s="7" t="s">
        <v>49</v>
      </c>
      <c r="C118" s="7" t="s">
        <v>177</v>
      </c>
      <c r="D118" s="11" t="s">
        <v>244</v>
      </c>
      <c r="E118" s="7"/>
    </row>
    <row r="119" spans="1:5" x14ac:dyDescent="0.3">
      <c r="A119" s="7">
        <v>118</v>
      </c>
      <c r="B119" s="7" t="s">
        <v>50</v>
      </c>
      <c r="C119" s="7" t="s">
        <v>142</v>
      </c>
      <c r="D119" s="11">
        <v>133</v>
      </c>
      <c r="E119" s="7"/>
    </row>
    <row r="120" spans="1:5" x14ac:dyDescent="0.3">
      <c r="A120" s="7">
        <v>119</v>
      </c>
      <c r="B120" s="7" t="s">
        <v>122</v>
      </c>
      <c r="C120" s="7" t="s">
        <v>151</v>
      </c>
      <c r="D120" s="11">
        <v>122</v>
      </c>
      <c r="E120" s="7"/>
    </row>
    <row r="121" spans="1:5" x14ac:dyDescent="0.3">
      <c r="A121" s="7">
        <v>120</v>
      </c>
      <c r="B121" s="7" t="s">
        <v>51</v>
      </c>
      <c r="C121" s="7" t="s">
        <v>162</v>
      </c>
      <c r="D121" s="11">
        <v>23</v>
      </c>
      <c r="E121" s="7"/>
    </row>
    <row r="122" spans="1:5" x14ac:dyDescent="0.3">
      <c r="A122" s="7">
        <v>121</v>
      </c>
      <c r="B122" s="7" t="s">
        <v>52</v>
      </c>
      <c r="C122" s="7" t="s">
        <v>134</v>
      </c>
      <c r="D122" s="11" t="s">
        <v>245</v>
      </c>
      <c r="E122" s="7"/>
    </row>
    <row r="123" spans="1:5" x14ac:dyDescent="0.3">
      <c r="A123" s="7">
        <v>122</v>
      </c>
      <c r="B123" s="7" t="s">
        <v>53</v>
      </c>
      <c r="C123" s="7" t="s">
        <v>162</v>
      </c>
      <c r="D123" s="11">
        <v>113</v>
      </c>
      <c r="E123" s="7"/>
    </row>
    <row r="124" spans="1:5" x14ac:dyDescent="0.3">
      <c r="A124" s="7">
        <v>123</v>
      </c>
      <c r="B124" s="7" t="s">
        <v>54</v>
      </c>
      <c r="C124" s="7" t="s">
        <v>151</v>
      </c>
      <c r="D124" s="11" t="s">
        <v>246</v>
      </c>
      <c r="E124" s="7"/>
    </row>
    <row r="125" spans="1:5" x14ac:dyDescent="0.3">
      <c r="A125" s="7">
        <v>124</v>
      </c>
      <c r="B125" s="7" t="s">
        <v>247</v>
      </c>
      <c r="C125" s="7" t="s">
        <v>139</v>
      </c>
      <c r="D125" s="11">
        <v>98</v>
      </c>
      <c r="E125" s="7"/>
    </row>
    <row r="126" spans="1:5" x14ac:dyDescent="0.3">
      <c r="A126" s="7">
        <v>125</v>
      </c>
      <c r="B126" s="7" t="s">
        <v>56</v>
      </c>
      <c r="C126" s="7" t="s">
        <v>137</v>
      </c>
      <c r="D126" s="11">
        <v>18</v>
      </c>
      <c r="E126" s="7"/>
    </row>
    <row r="127" spans="1:5" x14ac:dyDescent="0.3">
      <c r="A127" s="7">
        <v>126</v>
      </c>
      <c r="B127" s="7" t="s">
        <v>57</v>
      </c>
      <c r="C127" s="7" t="s">
        <v>137</v>
      </c>
      <c r="D127" s="11" t="s">
        <v>200</v>
      </c>
      <c r="E127" s="7"/>
    </row>
    <row r="128" spans="1:5" x14ac:dyDescent="0.3">
      <c r="A128" s="7">
        <v>127</v>
      </c>
      <c r="B128" s="7" t="s">
        <v>58</v>
      </c>
      <c r="C128" s="7" t="s">
        <v>137</v>
      </c>
      <c r="D128" s="11">
        <v>151</v>
      </c>
      <c r="E128" s="7"/>
    </row>
    <row r="129" spans="1:5" x14ac:dyDescent="0.3">
      <c r="A129" s="7">
        <v>128</v>
      </c>
      <c r="B129" s="7" t="s">
        <v>59</v>
      </c>
      <c r="C129" s="7" t="s">
        <v>137</v>
      </c>
      <c r="D129" s="11" t="s">
        <v>248</v>
      </c>
      <c r="E129" s="7"/>
    </row>
    <row r="130" spans="1:5" x14ac:dyDescent="0.3">
      <c r="A130" s="7">
        <v>129</v>
      </c>
      <c r="B130" s="7" t="s">
        <v>249</v>
      </c>
      <c r="C130" s="7" t="s">
        <v>137</v>
      </c>
      <c r="D130" s="11" t="s">
        <v>250</v>
      </c>
      <c r="E130" s="7"/>
    </row>
    <row r="131" spans="1:5" x14ac:dyDescent="0.3">
      <c r="A131" s="7">
        <v>130</v>
      </c>
      <c r="B131" s="7" t="s">
        <v>60</v>
      </c>
      <c r="C131" s="7" t="s">
        <v>162</v>
      </c>
      <c r="D131" s="11" t="s">
        <v>251</v>
      </c>
      <c r="E131" s="7"/>
    </row>
    <row r="132" spans="1:5" x14ac:dyDescent="0.3">
      <c r="A132" s="7">
        <v>131</v>
      </c>
      <c r="B132" s="7" t="s">
        <v>61</v>
      </c>
      <c r="C132" s="7" t="s">
        <v>151</v>
      </c>
      <c r="D132" s="11" t="s">
        <v>192</v>
      </c>
      <c r="E132" s="7"/>
    </row>
    <row r="133" spans="1:5" x14ac:dyDescent="0.3">
      <c r="A133" s="7">
        <v>132</v>
      </c>
      <c r="B133" s="7" t="s">
        <v>252</v>
      </c>
      <c r="C133" s="7" t="s">
        <v>162</v>
      </c>
      <c r="D133" s="11">
        <v>151</v>
      </c>
      <c r="E133" s="7"/>
    </row>
    <row r="134" spans="1:5" x14ac:dyDescent="0.3">
      <c r="A134" s="7">
        <v>133</v>
      </c>
      <c r="B134" s="7" t="s">
        <v>62</v>
      </c>
      <c r="C134" s="7" t="s">
        <v>139</v>
      </c>
      <c r="D134" s="11" t="s">
        <v>238</v>
      </c>
      <c r="E134" s="7"/>
    </row>
    <row r="135" spans="1:5" x14ac:dyDescent="0.3">
      <c r="A135" s="7">
        <v>134</v>
      </c>
      <c r="B135" s="7" t="s">
        <v>63</v>
      </c>
      <c r="C135" s="7" t="s">
        <v>137</v>
      </c>
      <c r="D135" s="11" t="s">
        <v>253</v>
      </c>
      <c r="E135" s="7"/>
    </row>
    <row r="136" spans="1:5" x14ac:dyDescent="0.3">
      <c r="A136" s="7">
        <v>135</v>
      </c>
      <c r="B136" s="7" t="s">
        <v>64</v>
      </c>
      <c r="C136" s="7" t="s">
        <v>137</v>
      </c>
      <c r="D136" s="11">
        <v>141</v>
      </c>
      <c r="E136" s="7"/>
    </row>
    <row r="137" spans="1:5" x14ac:dyDescent="0.3">
      <c r="A137" s="7">
        <v>136</v>
      </c>
      <c r="B137" s="7" t="s">
        <v>254</v>
      </c>
      <c r="C137" s="7" t="s">
        <v>137</v>
      </c>
      <c r="D137" s="11">
        <v>2</v>
      </c>
      <c r="E137" s="7"/>
    </row>
    <row r="138" spans="1:5" x14ac:dyDescent="0.3">
      <c r="A138" s="7">
        <v>137</v>
      </c>
      <c r="B138" s="7" t="s">
        <v>66</v>
      </c>
      <c r="C138" s="7" t="s">
        <v>139</v>
      </c>
      <c r="D138" s="11">
        <v>98</v>
      </c>
      <c r="E138" s="7"/>
    </row>
    <row r="139" spans="1:5" x14ac:dyDescent="0.3">
      <c r="A139" s="7">
        <v>138</v>
      </c>
      <c r="B139" s="7" t="s">
        <v>67</v>
      </c>
      <c r="C139" s="7" t="s">
        <v>151</v>
      </c>
      <c r="D139" s="11">
        <v>34</v>
      </c>
      <c r="E139" s="7"/>
    </row>
    <row r="140" spans="1:5" x14ac:dyDescent="0.3">
      <c r="A140" s="7">
        <v>139</v>
      </c>
      <c r="B140" s="7" t="s">
        <v>68</v>
      </c>
      <c r="C140" s="7" t="s">
        <v>139</v>
      </c>
      <c r="D140" s="11">
        <v>36</v>
      </c>
      <c r="E140" s="7"/>
    </row>
    <row r="141" spans="1:5" x14ac:dyDescent="0.3">
      <c r="A141" s="7">
        <v>140</v>
      </c>
      <c r="B141" s="7" t="s">
        <v>255</v>
      </c>
      <c r="C141" s="7" t="s">
        <v>162</v>
      </c>
      <c r="D141" s="11" t="s">
        <v>256</v>
      </c>
      <c r="E141" s="7"/>
    </row>
    <row r="142" spans="1:5" x14ac:dyDescent="0.3">
      <c r="A142" s="7">
        <v>141</v>
      </c>
      <c r="B142" s="7" t="s">
        <v>69</v>
      </c>
      <c r="C142" s="7" t="s">
        <v>177</v>
      </c>
      <c r="D142" s="11" t="s">
        <v>257</v>
      </c>
      <c r="E142" s="7"/>
    </row>
    <row r="143" spans="1:5" x14ac:dyDescent="0.3">
      <c r="A143" s="7">
        <v>142</v>
      </c>
      <c r="B143" s="7" t="s">
        <v>70</v>
      </c>
      <c r="C143" s="7" t="s">
        <v>139</v>
      </c>
      <c r="D143" s="11">
        <v>8</v>
      </c>
      <c r="E143" s="7"/>
    </row>
    <row r="144" spans="1:5" x14ac:dyDescent="0.3">
      <c r="A144" s="7">
        <v>143</v>
      </c>
      <c r="B144" s="7" t="s">
        <v>71</v>
      </c>
      <c r="C144" s="7" t="s">
        <v>177</v>
      </c>
      <c r="D144" s="11" t="s">
        <v>258</v>
      </c>
      <c r="E144" s="7"/>
    </row>
    <row r="145" spans="1:5" x14ac:dyDescent="0.3">
      <c r="A145" s="7">
        <v>144</v>
      </c>
      <c r="B145" s="7" t="s">
        <v>72</v>
      </c>
      <c r="C145" s="7" t="s">
        <v>146</v>
      </c>
      <c r="D145" s="11">
        <v>89</v>
      </c>
      <c r="E145" s="7"/>
    </row>
    <row r="146" spans="1:5" x14ac:dyDescent="0.3">
      <c r="A146" s="7">
        <v>145</v>
      </c>
      <c r="B146" s="7" t="s">
        <v>73</v>
      </c>
      <c r="C146" s="7" t="s">
        <v>139</v>
      </c>
      <c r="D146" s="11">
        <v>12</v>
      </c>
      <c r="E146" s="7"/>
    </row>
    <row r="147" spans="1:5" x14ac:dyDescent="0.3">
      <c r="A147" s="7">
        <v>146</v>
      </c>
      <c r="B147" s="7" t="s">
        <v>74</v>
      </c>
      <c r="C147" s="7" t="s">
        <v>142</v>
      </c>
      <c r="D147" s="11" t="s">
        <v>259</v>
      </c>
      <c r="E147" s="7"/>
    </row>
    <row r="148" spans="1:5" x14ac:dyDescent="0.3">
      <c r="A148" s="7">
        <v>147</v>
      </c>
      <c r="B148" s="7" t="s">
        <v>75</v>
      </c>
      <c r="C148" s="7" t="s">
        <v>139</v>
      </c>
      <c r="D148" s="11" t="s">
        <v>260</v>
      </c>
      <c r="E148" s="7"/>
    </row>
    <row r="149" spans="1:5" x14ac:dyDescent="0.3">
      <c r="A149" s="7">
        <v>148</v>
      </c>
      <c r="B149" s="7" t="s">
        <v>76</v>
      </c>
      <c r="C149" s="7" t="s">
        <v>146</v>
      </c>
      <c r="D149" s="11">
        <v>141</v>
      </c>
      <c r="E149" s="7"/>
    </row>
    <row r="150" spans="1:5" x14ac:dyDescent="0.3">
      <c r="A150" s="7">
        <v>149</v>
      </c>
      <c r="B150" s="7" t="s">
        <v>77</v>
      </c>
      <c r="C150" s="7" t="s">
        <v>139</v>
      </c>
      <c r="D150" s="11" t="s">
        <v>261</v>
      </c>
      <c r="E150" s="7"/>
    </row>
    <row r="151" spans="1:5" x14ac:dyDescent="0.3">
      <c r="A151" s="7">
        <v>150</v>
      </c>
      <c r="B151" s="7" t="s">
        <v>262</v>
      </c>
      <c r="C151" s="7" t="s">
        <v>139</v>
      </c>
      <c r="D151" s="11" t="s">
        <v>263</v>
      </c>
      <c r="E151" s="7"/>
    </row>
    <row r="152" spans="1:5" x14ac:dyDescent="0.3">
      <c r="A152" s="7">
        <v>151</v>
      </c>
      <c r="B152" s="7" t="s">
        <v>264</v>
      </c>
      <c r="C152" s="7" t="s">
        <v>139</v>
      </c>
      <c r="D152" s="11">
        <v>8</v>
      </c>
      <c r="E152" s="7"/>
    </row>
    <row r="153" spans="1:5" x14ac:dyDescent="0.3">
      <c r="A153" s="7">
        <v>152</v>
      </c>
      <c r="B153" s="7" t="s">
        <v>265</v>
      </c>
      <c r="C153" s="7" t="s">
        <v>134</v>
      </c>
      <c r="D153" s="11">
        <v>150</v>
      </c>
      <c r="E153" s="7"/>
    </row>
    <row r="154" spans="1:5" x14ac:dyDescent="0.3">
      <c r="A154" s="7">
        <v>153</v>
      </c>
      <c r="B154" s="7" t="s">
        <v>266</v>
      </c>
      <c r="C154" s="7" t="s">
        <v>134</v>
      </c>
      <c r="D154" s="11">
        <v>142</v>
      </c>
      <c r="E154" s="7"/>
    </row>
    <row r="155" spans="1:5" x14ac:dyDescent="0.3">
      <c r="A155" s="7">
        <v>154</v>
      </c>
      <c r="B155" s="7" t="s">
        <v>80</v>
      </c>
      <c r="C155" s="7" t="s">
        <v>162</v>
      </c>
      <c r="D155" s="11">
        <v>24</v>
      </c>
      <c r="E155" s="7"/>
    </row>
    <row r="156" spans="1:5" x14ac:dyDescent="0.3">
      <c r="A156" s="7">
        <v>155</v>
      </c>
      <c r="B156" s="7" t="s">
        <v>267</v>
      </c>
      <c r="C156" s="7" t="s">
        <v>137</v>
      </c>
      <c r="D156" s="11">
        <v>149</v>
      </c>
      <c r="E156" s="7"/>
    </row>
    <row r="157" spans="1:5" x14ac:dyDescent="0.3">
      <c r="A157" s="7">
        <v>156</v>
      </c>
      <c r="B157" s="7" t="s">
        <v>268</v>
      </c>
      <c r="C157" s="7" t="s">
        <v>134</v>
      </c>
      <c r="D157" s="11" t="s">
        <v>184</v>
      </c>
      <c r="E157" s="7"/>
    </row>
    <row r="158" spans="1:5" x14ac:dyDescent="0.3">
      <c r="A158" s="7">
        <v>157</v>
      </c>
      <c r="B158" s="7" t="s">
        <v>82</v>
      </c>
      <c r="C158" s="7" t="s">
        <v>146</v>
      </c>
      <c r="D158" s="11">
        <v>35</v>
      </c>
      <c r="E158" s="7"/>
    </row>
    <row r="159" spans="1:5" x14ac:dyDescent="0.3">
      <c r="A159" s="7">
        <v>158</v>
      </c>
      <c r="B159" s="7" t="s">
        <v>269</v>
      </c>
      <c r="C159" s="7" t="s">
        <v>139</v>
      </c>
      <c r="D159" s="11">
        <v>148</v>
      </c>
      <c r="E159" s="7"/>
    </row>
    <row r="160" spans="1:5" x14ac:dyDescent="0.3">
      <c r="A160" s="7">
        <v>159</v>
      </c>
      <c r="B160" s="7" t="s">
        <v>84</v>
      </c>
      <c r="C160" s="7" t="s">
        <v>139</v>
      </c>
      <c r="D160" s="11">
        <v>7</v>
      </c>
      <c r="E160" s="7"/>
    </row>
    <row r="161" spans="1:5" x14ac:dyDescent="0.3">
      <c r="A161" s="7">
        <v>160</v>
      </c>
      <c r="B161" s="7" t="s">
        <v>270</v>
      </c>
      <c r="C161" s="7" t="s">
        <v>151</v>
      </c>
      <c r="D161" s="11">
        <v>127</v>
      </c>
      <c r="E161" s="7"/>
    </row>
    <row r="162" spans="1:5" x14ac:dyDescent="0.3">
      <c r="A162" s="7">
        <v>161</v>
      </c>
      <c r="B162" s="7" t="s">
        <v>85</v>
      </c>
      <c r="C162" s="7" t="s">
        <v>137</v>
      </c>
      <c r="D162" s="11" t="s">
        <v>271</v>
      </c>
      <c r="E162" s="7"/>
    </row>
    <row r="163" spans="1:5" x14ac:dyDescent="0.3">
      <c r="A163" s="7">
        <v>162</v>
      </c>
      <c r="B163" s="7" t="s">
        <v>86</v>
      </c>
      <c r="C163" s="7" t="s">
        <v>162</v>
      </c>
      <c r="D163" s="11" t="s">
        <v>272</v>
      </c>
      <c r="E163" s="7"/>
    </row>
    <row r="164" spans="1:5" x14ac:dyDescent="0.3">
      <c r="A164" s="7">
        <v>163</v>
      </c>
      <c r="B164" s="7" t="s">
        <v>87</v>
      </c>
      <c r="C164" s="7" t="s">
        <v>137</v>
      </c>
      <c r="D164" s="11">
        <v>2</v>
      </c>
      <c r="E164" s="7"/>
    </row>
    <row r="165" spans="1:5" x14ac:dyDescent="0.3">
      <c r="A165" s="7">
        <v>164</v>
      </c>
      <c r="B165" s="7" t="s">
        <v>88</v>
      </c>
      <c r="C165" s="7" t="s">
        <v>139</v>
      </c>
      <c r="D165" s="11">
        <v>23</v>
      </c>
      <c r="E165" s="7"/>
    </row>
    <row r="166" spans="1:5" x14ac:dyDescent="0.3">
      <c r="A166" s="7">
        <v>165</v>
      </c>
      <c r="B166" s="7" t="s">
        <v>273</v>
      </c>
      <c r="C166" s="7" t="s">
        <v>146</v>
      </c>
      <c r="D166" s="11" t="s">
        <v>274</v>
      </c>
      <c r="E166" s="7"/>
    </row>
    <row r="167" spans="1:5" x14ac:dyDescent="0.3">
      <c r="A167" s="7">
        <v>166</v>
      </c>
      <c r="B167" s="7" t="s">
        <v>89</v>
      </c>
      <c r="C167" s="7" t="s">
        <v>139</v>
      </c>
      <c r="D167" s="11" t="s">
        <v>197</v>
      </c>
      <c r="E167" s="7"/>
    </row>
    <row r="168" spans="1:5" x14ac:dyDescent="0.3">
      <c r="A168" s="7">
        <v>167</v>
      </c>
      <c r="B168" s="7" t="s">
        <v>90</v>
      </c>
      <c r="C168" s="7" t="s">
        <v>151</v>
      </c>
      <c r="D168" s="11">
        <v>122</v>
      </c>
      <c r="E168" s="7"/>
    </row>
    <row r="169" spans="1:5" x14ac:dyDescent="0.3">
      <c r="A169" s="7">
        <v>168</v>
      </c>
      <c r="B169" s="7" t="s">
        <v>91</v>
      </c>
      <c r="C169" s="7" t="s">
        <v>139</v>
      </c>
      <c r="D169" s="11">
        <v>142</v>
      </c>
      <c r="E169" s="7"/>
    </row>
    <row r="170" spans="1:5" x14ac:dyDescent="0.3">
      <c r="A170" s="7">
        <v>169</v>
      </c>
      <c r="B170" s="7" t="s">
        <v>275</v>
      </c>
      <c r="C170" s="7" t="s">
        <v>139</v>
      </c>
      <c r="D170" s="11">
        <v>97</v>
      </c>
      <c r="E170" s="7"/>
    </row>
    <row r="171" spans="1:5" x14ac:dyDescent="0.3">
      <c r="A171" s="7">
        <v>170</v>
      </c>
      <c r="B171" s="7" t="s">
        <v>276</v>
      </c>
      <c r="C171" s="7" t="s">
        <v>162</v>
      </c>
      <c r="D171" s="11">
        <v>23</v>
      </c>
      <c r="E171" s="7"/>
    </row>
    <row r="172" spans="1:5" x14ac:dyDescent="0.3">
      <c r="A172" s="7">
        <v>171</v>
      </c>
      <c r="B172" s="7" t="s">
        <v>277</v>
      </c>
      <c r="C172" s="7" t="s">
        <v>146</v>
      </c>
      <c r="D172" s="11">
        <v>140</v>
      </c>
      <c r="E172" s="7"/>
    </row>
    <row r="173" spans="1:5" x14ac:dyDescent="0.3">
      <c r="A173" s="7">
        <v>172</v>
      </c>
      <c r="B173" s="7" t="s">
        <v>278</v>
      </c>
      <c r="C173" s="7" t="s">
        <v>139</v>
      </c>
      <c r="D173" s="11">
        <v>39</v>
      </c>
      <c r="E173" s="7"/>
    </row>
    <row r="174" spans="1:5" x14ac:dyDescent="0.3">
      <c r="A174" s="7">
        <v>173</v>
      </c>
      <c r="B174" s="7" t="s">
        <v>279</v>
      </c>
      <c r="C174" s="7" t="s">
        <v>137</v>
      </c>
      <c r="D174" s="11" t="s">
        <v>280</v>
      </c>
      <c r="E174" s="7"/>
    </row>
    <row r="175" spans="1:5" x14ac:dyDescent="0.3">
      <c r="A175" s="7">
        <v>174</v>
      </c>
      <c r="B175" s="7" t="s">
        <v>281</v>
      </c>
      <c r="C175" s="7" t="s">
        <v>162</v>
      </c>
      <c r="D175" s="11">
        <v>28</v>
      </c>
      <c r="E175" s="7"/>
    </row>
    <row r="176" spans="1:5" x14ac:dyDescent="0.3">
      <c r="A176" s="7">
        <v>175</v>
      </c>
      <c r="B176" s="7" t="s">
        <v>282</v>
      </c>
      <c r="C176" s="7" t="s">
        <v>139</v>
      </c>
      <c r="D176" s="11">
        <v>98</v>
      </c>
      <c r="E176" s="7"/>
    </row>
    <row r="177" spans="1:5" x14ac:dyDescent="0.3">
      <c r="A177" s="7">
        <v>176</v>
      </c>
      <c r="B177" s="7" t="s">
        <v>283</v>
      </c>
      <c r="C177" s="7" t="s">
        <v>134</v>
      </c>
      <c r="D177" s="11">
        <v>142</v>
      </c>
      <c r="E177" s="7"/>
    </row>
    <row r="178" spans="1:5" x14ac:dyDescent="0.3">
      <c r="A178" s="7">
        <v>177</v>
      </c>
      <c r="B178" s="7" t="s">
        <v>284</v>
      </c>
      <c r="C178" s="7" t="s">
        <v>177</v>
      </c>
      <c r="D178" s="11" t="s">
        <v>285</v>
      </c>
      <c r="E178" s="7"/>
    </row>
    <row r="179" spans="1:5" x14ac:dyDescent="0.3">
      <c r="A179" s="7">
        <v>178</v>
      </c>
      <c r="B179" s="7" t="s">
        <v>286</v>
      </c>
      <c r="C179" s="7" t="s">
        <v>151</v>
      </c>
      <c r="D179" s="11">
        <v>34</v>
      </c>
      <c r="E179" s="7"/>
    </row>
    <row r="180" spans="1:5" x14ac:dyDescent="0.3">
      <c r="A180" s="7">
        <v>179</v>
      </c>
      <c r="B180" s="7" t="s">
        <v>287</v>
      </c>
      <c r="C180" s="7" t="s">
        <v>151</v>
      </c>
      <c r="D180" s="11">
        <v>21</v>
      </c>
      <c r="E180" s="7"/>
    </row>
    <row r="181" spans="1:5" x14ac:dyDescent="0.3">
      <c r="A181" s="7">
        <v>180</v>
      </c>
      <c r="B181" s="7" t="s">
        <v>288</v>
      </c>
      <c r="C181" s="7" t="s">
        <v>162</v>
      </c>
      <c r="D181" s="11">
        <v>151</v>
      </c>
      <c r="E181" s="7"/>
    </row>
    <row r="182" spans="1:5" x14ac:dyDescent="0.3">
      <c r="A182" s="7">
        <v>181</v>
      </c>
      <c r="B182" s="7" t="s">
        <v>289</v>
      </c>
      <c r="C182" s="7" t="s">
        <v>162</v>
      </c>
      <c r="D182" s="11">
        <v>143</v>
      </c>
      <c r="E182" s="7"/>
    </row>
    <row r="183" spans="1:5" x14ac:dyDescent="0.3">
      <c r="A183" s="7">
        <v>182</v>
      </c>
      <c r="B183" s="7" t="s">
        <v>290</v>
      </c>
      <c r="C183" s="7" t="s">
        <v>162</v>
      </c>
      <c r="D183" s="11">
        <v>24</v>
      </c>
      <c r="E183" s="7"/>
    </row>
    <row r="184" spans="1:5" x14ac:dyDescent="0.3">
      <c r="A184" s="7">
        <v>183</v>
      </c>
      <c r="B184" s="7" t="s">
        <v>291</v>
      </c>
      <c r="C184" s="7" t="s">
        <v>151</v>
      </c>
      <c r="D184" s="11">
        <v>121</v>
      </c>
      <c r="E184" s="7"/>
    </row>
    <row r="185" spans="1:5" x14ac:dyDescent="0.3">
      <c r="A185" s="7">
        <v>184</v>
      </c>
      <c r="B185" s="7" t="s">
        <v>292</v>
      </c>
      <c r="C185" s="7" t="s">
        <v>139</v>
      </c>
      <c r="D185" s="11">
        <v>139</v>
      </c>
      <c r="E185" s="7"/>
    </row>
    <row r="186" spans="1:5" x14ac:dyDescent="0.3">
      <c r="A186" s="7">
        <v>185</v>
      </c>
      <c r="B186" s="7" t="s">
        <v>293</v>
      </c>
      <c r="C186" s="7" t="s">
        <v>139</v>
      </c>
      <c r="D186" s="11">
        <v>48</v>
      </c>
      <c r="E186" s="7"/>
    </row>
    <row r="187" spans="1:5" x14ac:dyDescent="0.3">
      <c r="A187" s="7">
        <v>186</v>
      </c>
      <c r="B187" s="7" t="s">
        <v>294</v>
      </c>
      <c r="C187" s="7" t="s">
        <v>139</v>
      </c>
      <c r="D187" s="11">
        <v>101</v>
      </c>
      <c r="E187" s="7"/>
    </row>
    <row r="188" spans="1:5" x14ac:dyDescent="0.3">
      <c r="A188" s="7">
        <v>187</v>
      </c>
      <c r="B188" s="7" t="s">
        <v>295</v>
      </c>
      <c r="C188" s="7" t="s">
        <v>162</v>
      </c>
      <c r="D188" s="11">
        <v>115</v>
      </c>
      <c r="E188" s="7"/>
    </row>
    <row r="189" spans="1:5" x14ac:dyDescent="0.3">
      <c r="A189" s="7">
        <v>188</v>
      </c>
      <c r="B189" s="7" t="s">
        <v>296</v>
      </c>
      <c r="C189" s="7" t="s">
        <v>139</v>
      </c>
      <c r="D189" s="11">
        <v>7</v>
      </c>
      <c r="E189" s="7"/>
    </row>
    <row r="190" spans="1:5" x14ac:dyDescent="0.3">
      <c r="A190" s="7">
        <v>189</v>
      </c>
      <c r="B190" s="7" t="s">
        <v>297</v>
      </c>
      <c r="C190" s="7" t="s">
        <v>139</v>
      </c>
      <c r="D190" s="11">
        <v>31</v>
      </c>
      <c r="E190" s="7"/>
    </row>
    <row r="191" spans="1:5" x14ac:dyDescent="0.3">
      <c r="A191" s="7">
        <v>190</v>
      </c>
      <c r="B191" s="7" t="s">
        <v>298</v>
      </c>
      <c r="C191" s="7" t="s">
        <v>142</v>
      </c>
      <c r="D191" s="11">
        <v>131</v>
      </c>
      <c r="E191" s="7"/>
    </row>
    <row r="192" spans="1:5" x14ac:dyDescent="0.3">
      <c r="A192" s="7">
        <v>191</v>
      </c>
      <c r="B192" s="7" t="s">
        <v>299</v>
      </c>
      <c r="C192" s="7" t="s">
        <v>146</v>
      </c>
      <c r="D192" s="11" t="s">
        <v>300</v>
      </c>
      <c r="E192" s="7"/>
    </row>
    <row r="193" spans="1:5" x14ac:dyDescent="0.3">
      <c r="A193" s="7">
        <v>192</v>
      </c>
      <c r="B193" s="7" t="s">
        <v>301</v>
      </c>
      <c r="C193" s="7" t="s">
        <v>162</v>
      </c>
      <c r="D193" s="11" t="s">
        <v>302</v>
      </c>
      <c r="E193" s="7"/>
    </row>
    <row r="194" spans="1:5" x14ac:dyDescent="0.3">
      <c r="A194" s="7">
        <v>193</v>
      </c>
      <c r="B194" s="7" t="s">
        <v>303</v>
      </c>
      <c r="C194" s="7" t="s">
        <v>139</v>
      </c>
      <c r="D194" s="11">
        <v>142</v>
      </c>
      <c r="E194" s="7"/>
    </row>
    <row r="195" spans="1:5" x14ac:dyDescent="0.3">
      <c r="A195" s="7">
        <v>194</v>
      </c>
      <c r="B195" s="7" t="s">
        <v>304</v>
      </c>
      <c r="C195" s="7" t="s">
        <v>139</v>
      </c>
      <c r="D195" s="11" t="s">
        <v>305</v>
      </c>
      <c r="E195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CCFF7F-50A0-46D6-8891-DD1502F2AD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Lista de bosquejos</vt:lpstr>
      <vt:lpstr>Nos visitan 2026</vt:lpstr>
      <vt:lpstr>Visitamos 2026</vt:lpstr>
      <vt:lpstr>Formato</vt:lpstr>
      <vt:lpstr>Nuestros oradores</vt:lpstr>
      <vt:lpstr>Base de datos</vt:lpstr>
      <vt:lpstr>Canciones sugeridas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ZATARAIN</dc:creator>
  <cp:lastModifiedBy>MARCO ZATARAIN</cp:lastModifiedBy>
  <cp:lastPrinted>2026-03-17T02:00:35Z</cp:lastPrinted>
  <dcterms:created xsi:type="dcterms:W3CDTF">2022-12-06T03:42:56Z</dcterms:created>
  <dcterms:modified xsi:type="dcterms:W3CDTF">2026-04-04T00:44:27Z</dcterms:modified>
</cp:coreProperties>
</file>